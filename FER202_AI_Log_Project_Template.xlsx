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710" yWindow="0" windowWidth="12980" windowHeight="16090" tabRatio="500" firstSheet="2" activeTab="4" autoFilterDateGrouping="1"/>
  </bookViews>
  <sheets>
    <sheet xmlns:r="http://schemas.openxmlformats.org/officeDocument/2006/relationships" name="Hướng dẫn" sheetId="1" state="visible" r:id="rId1"/>
    <sheet xmlns:r="http://schemas.openxmlformats.org/officeDocument/2006/relationships" name="Thông tin nhóm" sheetId="2" state="visible" r:id="rId2"/>
    <sheet xmlns:r="http://schemas.openxmlformats.org/officeDocument/2006/relationships" name="Week_01" sheetId="3" state="visible" r:id="rId3"/>
    <sheet xmlns:r="http://schemas.openxmlformats.org/officeDocument/2006/relationships" name="Week_02" sheetId="4" state="visible" r:id="rId4"/>
    <sheet xmlns:r="http://schemas.openxmlformats.org/officeDocument/2006/relationships" name="Week_03" sheetId="5" state="visible" r:id="rId5"/>
    <sheet xmlns:r="http://schemas.openxmlformats.org/officeDocument/2006/relationships" name="Week_04" sheetId="6" state="visible" r:id="rId6"/>
    <sheet xmlns:r="http://schemas.openxmlformats.org/officeDocument/2006/relationships" name="Week_05" sheetId="7" state="visible" r:id="rId7"/>
    <sheet xmlns:r="http://schemas.openxmlformats.org/officeDocument/2006/relationships" name="Week_06" sheetId="8" state="visible" r:id="rId8"/>
    <sheet xmlns:r="http://schemas.openxmlformats.org/officeDocument/2006/relationships" name="Week_07" sheetId="9" state="visible" r:id="rId9"/>
    <sheet xmlns:r="http://schemas.openxmlformats.org/officeDocument/2006/relationships" name="Week_08" sheetId="10" state="visible" r:id="rId10"/>
    <sheet xmlns:r="http://schemas.openxmlformats.org/officeDocument/2006/relationships" name="Week_09" sheetId="11" state="visible" r:id="rId11"/>
    <sheet xmlns:r="http://schemas.openxmlformats.org/officeDocument/2006/relationships" name="Week_10" sheetId="12" state="visible" r:id="rId12"/>
    <sheet xmlns:r="http://schemas.openxmlformats.org/officeDocument/2006/relationships" name="Summary" sheetId="13" state="visible" r:id="rId13"/>
  </sheets>
  <definedNames/>
  <calcPr calcId="191029" fullCalcOnLoad="1" iterateDelta="0.0001"/>
</workbook>
</file>

<file path=xl/styles.xml><?xml version="1.0" encoding="utf-8"?>
<styleSheet xmlns="http://schemas.openxmlformats.org/spreadsheetml/2006/main">
  <numFmts count="0"/>
  <fonts count="16">
    <font>
      <name val="Calibri"/>
      <charset val="1"/>
      <family val="2"/>
      <color theme="1"/>
      <sz val="11"/>
    </font>
    <font>
      <name val="Arial"/>
      <charset val="1"/>
      <b val="1"/>
      <color rgb="FFFFFFFF"/>
      <sz val="16"/>
    </font>
    <font>
      <name val="Arial"/>
      <charset val="1"/>
      <i val="1"/>
      <color rgb="FFFFFFFF"/>
      <sz val="11"/>
    </font>
    <font>
      <name val="Arial"/>
      <charset val="1"/>
      <b val="1"/>
      <color rgb="FFFFFFFF"/>
      <sz val="11"/>
    </font>
    <font>
      <name val="Arial"/>
      <charset val="1"/>
      <color rgb="FF000000"/>
      <sz val="10"/>
    </font>
    <font>
      <name val="Arial"/>
      <charset val="1"/>
      <b val="1"/>
      <color rgb="FFFFFFFF"/>
      <sz val="15"/>
    </font>
    <font>
      <name val="Arial"/>
      <charset val="1"/>
      <b val="1"/>
      <color rgb="FF000000"/>
      <sz val="10"/>
    </font>
    <font>
      <name val="Arial"/>
      <charset val="1"/>
      <b val="1"/>
      <color rgb="FFFFFFFF"/>
      <sz val="14"/>
    </font>
    <font>
      <name val="Arial"/>
      <charset val="1"/>
      <i val="1"/>
      <color rgb="FF808080"/>
      <sz val="9"/>
    </font>
    <font>
      <name val="Arial"/>
      <charset val="1"/>
      <b val="1"/>
      <i val="1"/>
      <color rgb="FF000000"/>
      <sz val="10"/>
    </font>
    <font>
      <name val="Arial"/>
      <charset val="1"/>
      <i val="1"/>
      <color rgb="FFFFFFFF"/>
      <sz val="9"/>
    </font>
    <font>
      <name val="Arial"/>
      <charset val="1"/>
      <family val="2"/>
      <b val="1"/>
      <color rgb="FF000000"/>
      <sz val="10"/>
    </font>
    <font>
      <name val="Arial"/>
      <family val="2"/>
      <b val="1"/>
      <color rgb="FF000000"/>
      <sz val="10"/>
    </font>
    <font>
      <name val="Arial"/>
      <family val="2"/>
      <color rgb="FF000000"/>
      <sz val="10"/>
    </font>
    <font>
      <name val="Calibri"/>
      <charset val="1"/>
      <family val="2"/>
      <color theme="10"/>
      <sz val="11"/>
      <u val="single"/>
    </font>
    <font>
      <name val="Calibri"/>
      <charset val="1"/>
      <family val="2"/>
      <sz val="8"/>
    </font>
  </fonts>
  <fills count="12">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14" fillId="0" borderId="0"/>
  </cellStyleXfs>
  <cellXfs count="88">
    <xf numFmtId="0" fontId="0" fillId="0" borderId="0" pivotButton="0" quotePrefix="0" xfId="0"/>
    <xf numFmtId="0" fontId="6" fillId="9"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0" borderId="2" applyAlignment="1" pivotButton="0" quotePrefix="0" xfId="0">
      <alignment horizontal="left" vertical="center" wrapText="1"/>
    </xf>
    <xf numFmtId="0" fontId="4" fillId="0"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4"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1">
      <alignment horizontal="left" vertical="center" wrapText="1"/>
    </xf>
    <xf numFmtId="0" fontId="14" fillId="0" borderId="2" applyAlignment="1" pivotButton="0" quotePrefix="0" xfId="1">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10" fillId="2" borderId="1" applyAlignment="1" pivotButton="0" quotePrefix="0" xfId="0">
      <alignment horizontal="center" vertical="center" wrapText="1"/>
    </xf>
    <xf numFmtId="0" fontId="6" fillId="11" borderId="1" applyAlignment="1" pivotButton="0" quotePrefix="0" xfId="0">
      <alignment horizontal="left" vertical="center" wrapText="1"/>
    </xf>
    <xf numFmtId="0" fontId="8" fillId="0" borderId="4" applyAlignment="1" pivotButton="0" quotePrefix="0" xfId="0">
      <alignment horizontal="left" vertical="center" wrapText="1"/>
    </xf>
    <xf numFmtId="0" fontId="3" fillId="10" borderId="1" applyAlignment="1" pivotButton="0" quotePrefix="0" xfId="0">
      <alignment horizontal="left" vertical="center" wrapText="1"/>
    </xf>
    <xf numFmtId="0" fontId="8" fillId="0" borderId="0" applyAlignment="1" pivotButton="0" quotePrefix="0" xfId="0">
      <alignment horizontal="left" vertical="center" wrapText="1"/>
    </xf>
    <xf numFmtId="0" fontId="6" fillId="8" borderId="1" applyAlignment="1" pivotButton="0" quotePrefix="0" xfId="0">
      <alignment horizontal="center" vertical="center" wrapText="1"/>
    </xf>
    <xf numFmtId="0" fontId="4" fillId="0" borderId="1" applyAlignment="1" pivotButton="0" quotePrefix="0" xfId="0">
      <alignment horizontal="left" vertical="center" wrapText="1"/>
    </xf>
    <xf numFmtId="0" fontId="9" fillId="8" borderId="1" applyAlignment="1" pivotButton="0" quotePrefix="0" xfId="0">
      <alignment horizontal="left" vertical="center" wrapText="1"/>
    </xf>
    <xf numFmtId="0" fontId="3" fillId="4" borderId="1" applyAlignment="1" pivotButton="0" quotePrefix="0" xfId="0">
      <alignment horizontal="left" vertical="center" wrapText="1"/>
    </xf>
    <xf numFmtId="0" fontId="6" fillId="9"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0" borderId="0" applyAlignment="1" pivotButton="0" quotePrefix="0" xfId="0">
      <alignment horizontal="center" vertical="center" wrapText="1"/>
    </xf>
    <xf numFmtId="0" fontId="3" fillId="3" borderId="1" applyAlignment="1" pivotButton="0" quotePrefix="0" xfId="0">
      <alignment horizontal="left" vertical="center" wrapText="1"/>
    </xf>
    <xf numFmtId="0" fontId="3" fillId="5" borderId="1" applyAlignment="1" pivotButton="0" quotePrefix="0" xfId="0">
      <alignment horizontal="left" vertical="center" wrapText="1"/>
    </xf>
    <xf numFmtId="0" fontId="6" fillId="7"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12" fillId="0" borderId="2" applyAlignment="1" pivotButton="0" quotePrefix="0" xfId="0">
      <alignment horizontal="left" vertical="center" wrapText="1"/>
    </xf>
    <xf numFmtId="0" fontId="6" fillId="0" borderId="2" applyAlignment="1" pivotButton="0" quotePrefix="0" xfId="0">
      <alignment horizontal="left" vertical="center" wrapText="1"/>
    </xf>
    <xf numFmtId="0" fontId="14" fillId="0" borderId="2" applyAlignment="1" pivotButton="0" quotePrefix="0" xfId="1">
      <alignment horizontal="left" vertical="center" wrapText="1"/>
    </xf>
    <xf numFmtId="0" fontId="5" fillId="2" borderId="1" applyAlignment="1" pivotButton="0" quotePrefix="0" xfId="0">
      <alignment horizontal="center" vertical="center" wrapText="1"/>
    </xf>
    <xf numFmtId="0" fontId="6" fillId="0" borderId="3" applyAlignment="1" pivotButton="0" quotePrefix="0" xfId="0">
      <alignment horizontal="left" vertical="center" wrapText="1"/>
    </xf>
    <xf numFmtId="0" fontId="6" fillId="0" borderId="5" applyAlignment="1" pivotButton="0" quotePrefix="0" xfId="0">
      <alignment horizontal="left" vertical="center" wrapText="1"/>
    </xf>
    <xf numFmtId="0" fontId="10" fillId="2" borderId="2" applyAlignment="1" pivotButton="0" quotePrefix="0" xfId="0">
      <alignment horizontal="center" vertical="center" wrapText="1"/>
    </xf>
    <xf numFmtId="0" fontId="10" fillId="2" borderId="3" applyAlignment="1" pivotButton="0" quotePrefix="0" xfId="0">
      <alignment horizontal="center" vertical="center" wrapText="1"/>
    </xf>
    <xf numFmtId="0" fontId="10" fillId="2" borderId="5" applyAlignment="1" pivotButton="0" quotePrefix="0" xfId="0">
      <alignment horizontal="center" vertical="center" wrapText="1"/>
    </xf>
    <xf numFmtId="0" fontId="6" fillId="11" borderId="2" applyAlignment="1" pivotButton="0" quotePrefix="0" xfId="0">
      <alignment horizontal="left" vertical="center" wrapText="1"/>
    </xf>
    <xf numFmtId="0" fontId="6" fillId="11" borderId="3" applyAlignment="1" pivotButton="0" quotePrefix="0" xfId="0">
      <alignment horizontal="left" vertical="center" wrapText="1"/>
    </xf>
    <xf numFmtId="0" fontId="6" fillId="11" borderId="5" applyAlignment="1" pivotButton="0" quotePrefix="0" xfId="0">
      <alignment horizontal="left" vertical="center" wrapText="1"/>
    </xf>
    <xf numFmtId="0" fontId="3" fillId="10" borderId="2" applyAlignment="1" pivotButton="0" quotePrefix="0" xfId="0">
      <alignment horizontal="left" vertical="center" wrapText="1"/>
    </xf>
    <xf numFmtId="0" fontId="3" fillId="10" borderId="3" applyAlignment="1" pivotButton="0" quotePrefix="0" xfId="0">
      <alignment horizontal="left" vertical="center" wrapText="1"/>
    </xf>
    <xf numFmtId="0" fontId="3" fillId="10" borderId="5" applyAlignment="1" pivotButton="0" quotePrefix="0" xfId="0">
      <alignment horizontal="left" vertical="center" wrapText="1"/>
    </xf>
    <xf numFmtId="0" fontId="8" fillId="0" borderId="3" applyAlignment="1" pivotButton="0" quotePrefix="0" xfId="0">
      <alignment horizontal="left" vertical="center" wrapText="1"/>
    </xf>
    <xf numFmtId="0" fontId="6" fillId="8" borderId="2" applyAlignment="1" pivotButton="0" quotePrefix="0" xfId="0">
      <alignment horizontal="center" vertical="center" wrapText="1"/>
    </xf>
    <xf numFmtId="0" fontId="6" fillId="8" borderId="3" applyAlignment="1" pivotButton="0" quotePrefix="0" xfId="0">
      <alignment horizontal="center" vertical="center" wrapText="1"/>
    </xf>
    <xf numFmtId="0" fontId="6" fillId="8" borderId="5" applyAlignment="1" pivotButton="0" quotePrefix="0" xfId="0">
      <alignment horizontal="center" vertical="center" wrapText="1"/>
    </xf>
    <xf numFmtId="0" fontId="8" fillId="0" borderId="2" applyAlignment="1" pivotButton="0" quotePrefix="0" xfId="0">
      <alignment horizontal="left" vertical="center" wrapText="1"/>
    </xf>
    <xf numFmtId="0" fontId="8" fillId="0" borderId="5" applyAlignment="1" pivotButton="0" quotePrefix="0" xfId="0">
      <alignment horizontal="left" vertical="center" wrapText="1"/>
    </xf>
    <xf numFmtId="0" fontId="9" fillId="8" borderId="2" applyAlignment="1" pivotButton="0" quotePrefix="0" xfId="0">
      <alignment horizontal="left" vertical="center" wrapText="1"/>
    </xf>
    <xf numFmtId="0" fontId="9" fillId="8" borderId="3" applyAlignment="1" pivotButton="0" quotePrefix="0" xfId="0">
      <alignment horizontal="left" vertical="center" wrapText="1"/>
    </xf>
    <xf numFmtId="0" fontId="9" fillId="8" borderId="5"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 applyAlignment="1" pivotButton="0" quotePrefix="0" xfId="0">
      <alignment horizontal="left" vertical="center" wrapText="1"/>
    </xf>
    <xf numFmtId="0" fontId="3" fillId="4" borderId="5" applyAlignment="1" pivotButton="0" quotePrefix="0" xfId="0">
      <alignment horizontal="left" vertical="center" wrapText="1"/>
    </xf>
    <xf numFmtId="0" fontId="11" fillId="0" borderId="2" applyAlignment="1" pivotButton="0" quotePrefix="0" xfId="0">
      <alignment horizontal="left" vertical="center" wrapText="1"/>
    </xf>
    <xf numFmtId="0" fontId="0" fillId="0" borderId="5" pivotButton="0" quotePrefix="0" xfId="0"/>
    <xf numFmtId="0" fontId="0" fillId="0" borderId="3" pivotButton="0" quotePrefix="0" xfId="0"/>
    <xf numFmtId="0" fontId="7" fillId="2" borderId="1" applyAlignment="1" pivotButton="0" quotePrefix="0" xfId="0">
      <alignment vertical="top" wrapText="1"/>
    </xf>
    <xf numFmtId="0" fontId="8" fillId="0" borderId="0" applyAlignment="1" pivotButton="0" quotePrefix="0" xfId="0">
      <alignment vertical="top" wrapText="1"/>
    </xf>
    <xf numFmtId="0" fontId="3" fillId="3" borderId="1" applyAlignment="1" pivotButton="0" quotePrefix="0" xfId="0">
      <alignment vertical="top" wrapText="1"/>
    </xf>
    <xf numFmtId="0" fontId="6" fillId="6" borderId="1" applyAlignment="1" pivotButton="0" quotePrefix="0" xfId="0">
      <alignment vertical="top" wrapText="1"/>
    </xf>
    <xf numFmtId="0" fontId="4" fillId="0" borderId="1" applyAlignment="1" pivotButton="0" quotePrefix="0" xfId="0">
      <alignment vertical="top" wrapText="1"/>
    </xf>
    <xf numFmtId="0" fontId="3" fillId="5" borderId="1" applyAlignment="1" pivotButton="0" quotePrefix="0" xfId="0">
      <alignment vertical="top" wrapText="1"/>
    </xf>
    <xf numFmtId="0" fontId="6" fillId="7" borderId="1" applyAlignment="1" pivotButton="0" quotePrefix="0" xfId="0">
      <alignment vertical="top" wrapText="1"/>
    </xf>
    <xf numFmtId="0" fontId="9" fillId="8" borderId="1" applyAlignment="1" pivotButton="0" quotePrefix="0" xfId="0">
      <alignment vertical="top" wrapText="1"/>
    </xf>
    <xf numFmtId="0" fontId="3" fillId="4" borderId="1" applyAlignment="1" pivotButton="0" quotePrefix="0" xfId="0">
      <alignment vertical="top" wrapText="1"/>
    </xf>
    <xf numFmtId="0" fontId="6" fillId="9" borderId="1" applyAlignment="1" pivotButton="0" quotePrefix="0" xfId="0">
      <alignment vertical="top" wrapText="1"/>
    </xf>
    <xf numFmtId="0" fontId="6" fillId="8" borderId="1" applyAlignment="1" pivotButton="0" quotePrefix="0" xfId="0">
      <alignment vertical="top" wrapText="1"/>
    </xf>
    <xf numFmtId="0" fontId="8" fillId="0" borderId="1" applyAlignment="1" pivotButton="0" quotePrefix="0" xfId="0">
      <alignment vertical="top" wrapText="1"/>
    </xf>
    <xf numFmtId="0" fontId="3" fillId="10" borderId="1" applyAlignment="1" pivotButton="0" quotePrefix="0" xfId="0">
      <alignment vertical="top" wrapText="1"/>
    </xf>
    <xf numFmtId="0" fontId="6" fillId="11" borderId="1" applyAlignment="1" pivotButton="0" quotePrefix="0" xfId="0">
      <alignment vertical="top" wrapText="1"/>
    </xf>
    <xf numFmtId="0" fontId="6" fillId="0" borderId="1" applyAlignment="1" pivotButton="0" quotePrefix="0" xfId="0">
      <alignment vertical="top" wrapText="1"/>
    </xf>
    <xf numFmtId="0" fontId="8" fillId="0" borderId="4" applyAlignment="1" pivotButton="0" quotePrefix="0" xfId="0">
      <alignment vertical="top" wrapText="1"/>
    </xf>
    <xf numFmtId="0" fontId="10" fillId="2" borderId="1" applyAlignment="1" pivotButton="0" quotePrefix="0" xfId="0">
      <alignment vertical="top" wrapText="1"/>
    </xf>
    <xf numFmtId="0" fontId="4" fillId="0" borderId="1" applyAlignment="1" pivotButton="0" quotePrefix="0" xfId="0">
      <alignment vertical="center" wrapText="1"/>
    </xf>
    <xf numFmtId="0" fontId="9" fillId="8" borderId="1" applyAlignment="1" pivotButton="0" quotePrefix="0" xfId="0">
      <alignment vertical="center" wrapText="1"/>
    </xf>
    <xf numFmtId="0" fontId="6" fillId="8" borderId="1" applyAlignment="1" pivotButton="0" quotePrefix="0" xfId="0">
      <alignment vertical="center" wrapText="1"/>
    </xf>
    <xf numFmtId="0" fontId="8" fillId="0" borderId="1" applyAlignment="1" pivotButton="0" quotePrefix="0" xfId="0">
      <alignment vertical="center" wrapText="1"/>
    </xf>
    <xf numFmtId="0" fontId="6" fillId="11" borderId="1" applyAlignment="1" pivotButton="0" quotePrefix="0" xfId="0">
      <alignment vertical="center" wrapText="1"/>
    </xf>
    <xf numFmtId="0" fontId="6" fillId="0" borderId="1" applyAlignment="1" pivotButton="0" quotePrefix="0" xfId="0">
      <alignment vertical="center" wrapText="1"/>
    </xf>
    <xf numFmtId="0" fontId="8" fillId="0" borderId="4" applyAlignment="1" pivotButton="0" quotePrefix="0" xfId="0">
      <alignment vertical="center" wrapText="1"/>
    </xf>
    <xf numFmtId="0" fontId="0" fillId="0" borderId="0"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ducanhle.dn@gmail.com" TargetMode="External" Id="rId1"/><Relationship Type="http://schemas.openxmlformats.org/officeDocument/2006/relationships/hyperlink" Target="mailto:taloan.8104@gmail.com" TargetMode="External" Id="rId2"/><Relationship Type="http://schemas.openxmlformats.org/officeDocument/2006/relationships/hyperlink" Target="mailto:tranphuocdoannhat.2005@gmail.com" TargetMode="External" Id="rId3"/><Relationship Type="http://schemas.openxmlformats.org/officeDocument/2006/relationships/hyperlink" Target="mailto:atuyet129129@gmail.com" TargetMode="External" Id="rId4"/><Relationship Type="http://schemas.openxmlformats.org/officeDocument/2006/relationships/hyperlink" Target="mailto:doxuanthangqb2005@gmai.com" TargetMode="External" Id="rId5"/><Relationship Type="http://schemas.openxmlformats.org/officeDocument/2006/relationships/hyperlink" Target="https://github.com/ldanh270/integrated-hr-and-product-system" TargetMode="External" Id="rId6"/><Relationship Type="http://schemas.openxmlformats.org/officeDocument/2006/relationships/hyperlink" Target="https://hrp.atlassian.net/jira/software/projects/JOB/boards/34" TargetMode="External" Id="rId7"/></Relationships>
</file>

<file path=xl/worksheets/sheet1.xml><?xml version="1.0" encoding="utf-8"?>
<worksheet xmlns="http://schemas.openxmlformats.org/spreadsheetml/2006/main">
  <sheetPr>
    <outlinePr summaryBelow="1" summaryRight="1"/>
    <pageSetUpPr/>
  </sheetPr>
  <dimension ref="B2:C25"/>
  <sheetViews>
    <sheetView showGridLines="0" tabSelected="0" zoomScaleNormal="100" workbookViewId="0">
      <selection activeCell="A1" sqref="A1"/>
    </sheetView>
  </sheetViews>
  <sheetFormatPr baseColWidth="8" defaultColWidth="8.6328125" defaultRowHeight="14.5"/>
  <cols>
    <col width="3" customWidth="1" min="1" max="1"/>
    <col width="28" customWidth="1" min="2" max="2"/>
    <col width="84.36328125" customWidth="1" min="3" max="3"/>
  </cols>
  <sheetData>
    <row r="1" ht="13.5" customHeight="1"/>
    <row r="2" ht="36" customHeight="1">
      <c r="B2" s="30" t="inlineStr">
        <is>
          <t>FER202 — AI Log Template  |  Project Nhóm</t>
        </is>
      </c>
      <c r="C2" s="61" t="n"/>
    </row>
    <row r="3" ht="18" customHeight="1">
      <c r="B3" s="31" t="inlineStr">
        <is>
          <t>Hướng dẫn sử dụng  |  FPT University</t>
        </is>
      </c>
      <c r="C3" s="61" t="n"/>
    </row>
    <row r="5" ht="19.5" customHeight="1">
      <c r="B5" s="32" t="inlineStr">
        <is>
          <t>📌  MỤC ĐÍCH</t>
        </is>
      </c>
      <c r="C5" s="61" t="n"/>
    </row>
    <row r="6" ht="24.75" customHeight="1">
      <c r="B6" s="21" t="inlineStr">
        <is>
          <t>File này dùng để gì?</t>
        </is>
      </c>
      <c r="C6" s="21" t="inlineStr">
        <is>
          <t>Ghi lại nhật ký sử dụng AI của nhóm trong suốt project môn FER202 — theo từng tuần.</t>
        </is>
      </c>
    </row>
    <row r="7" ht="24.75" customHeight="1">
      <c r="B7" s="21" t="inlineStr">
        <is>
          <t>Ai điền?</t>
        </is>
      </c>
      <c r="C7" s="21" t="inlineStr">
        <is>
          <t>Mỗi thành viên tự điền phần của mình vào các bảng của tuần tương ứng. Trưởng nhóm tổng hợp và upload.</t>
        </is>
      </c>
    </row>
    <row r="8" ht="18" customHeight="1">
      <c r="B8" s="21" t="inlineStr">
        <is>
          <t>Nộp khi nào?</t>
        </is>
      </c>
      <c r="C8" s="21" t="inlineStr">
        <is>
          <t>Cuối mỗi tuần (hoặc theo deadline giảng viên). Một file duy nhất cho cả học kỳ.</t>
        </is>
      </c>
    </row>
    <row r="10" ht="19.5" customHeight="1">
      <c r="B10" s="27" t="inlineStr">
        <is>
          <t>📁  CÁC SHEET TRONG FILE</t>
        </is>
      </c>
      <c r="C10" s="61" t="n"/>
    </row>
    <row r="11">
      <c r="B11" s="21" t="inlineStr">
        <is>
          <t>Thông tin nhóm</t>
        </is>
      </c>
      <c r="C11" s="21" t="inlineStr">
        <is>
          <t>Điền 1 lần đầu học kỳ: tên nhóm, MSSV, phân công, mô tả project.</t>
        </is>
      </c>
    </row>
    <row r="12">
      <c r="B12" s="21" t="inlineStr">
        <is>
          <t>Week_01 → Week_10</t>
        </is>
      </c>
      <c r="C12" s="21" t="inlineStr">
        <is>
          <t>Mỗi tuần có 4 bảng: AI_Audit_Log, Changelog, Prompts, Reflection.</t>
        </is>
      </c>
    </row>
    <row r="13" ht="18" customHeight="1">
      <c r="B13" s="21" t="inlineStr">
        <is>
          <t>Summary</t>
        </is>
      </c>
      <c r="C13" s="21" t="inlineStr">
        <is>
          <t>Tổng hợp tự động (công thức) số lần dùng AI, mức hỗ trợ theo từng tuần/thành viên.</t>
        </is>
      </c>
    </row>
    <row r="15" ht="19.5" customHeight="1">
      <c r="B15" s="23" t="inlineStr">
        <is>
          <t>📝  4 BẢNG TRONG MỖI TUẦN</t>
        </is>
      </c>
      <c r="C15" s="61" t="n"/>
    </row>
    <row r="16" ht="24.75" customHeight="1">
      <c r="B16" s="21" t="inlineStr">
        <is>
          <t>BẢNG 1 — AI_AUDIT_LOG</t>
        </is>
      </c>
      <c r="C16" s="21" t="inlineStr">
        <is>
          <t>Ghi mỗi lần dùng AI: ngày, ai dùng, tool, mục đích, mức hỗ trợ, đã chỉnh sửa gì, kiểm chứng.</t>
        </is>
      </c>
    </row>
    <row r="17" ht="24.75" customHeight="1">
      <c r="B17" s="21" t="inlineStr">
        <is>
          <t>BẢNG 2 — CHANGELOG</t>
        </is>
      </c>
      <c r="C17" s="21" t="inlineStr">
        <is>
          <t>Ghi thay đổi project trong tuần (Added / Changed / Fixed / Removed). Không bắt buộc gắn với AI.</t>
        </is>
      </c>
    </row>
    <row r="18" ht="24.75" customHeight="1">
      <c r="B18" s="21" t="inlineStr">
        <is>
          <t>BẢNG 3 — PROMPTS</t>
        </is>
      </c>
      <c r="C18" s="21" t="inlineStr">
        <is>
          <t>Ghi chi tiết từng prompt quan trọng đã dùng: nội dung, kết quả AI trả về, cách nhóm sử dụng/chỉnh sửa.</t>
        </is>
      </c>
    </row>
    <row r="19" ht="24.75" customHeight="1">
      <c r="B19" s="21" t="inlineStr">
        <is>
          <t>BẢNG 4 — REFLECTION</t>
        </is>
      </c>
      <c r="C19" s="21" t="inlineStr">
        <is>
          <t>Mỗi thành viên viết 1 block suy ngẫm cá nhân cuối tuần (đã làm gì, AI hỗ trợ ra sao, điểm chưa tốt).</t>
        </is>
      </c>
    </row>
    <row r="21" ht="19.5" customHeight="1">
      <c r="B21" s="28" t="inlineStr">
        <is>
          <t>✅  QUY ƯỚC</t>
        </is>
      </c>
      <c r="C21" s="61" t="n"/>
    </row>
    <row r="22">
      <c r="B22" s="21" t="inlineStr">
        <is>
          <t>Cột TV</t>
        </is>
      </c>
      <c r="C22" s="21" t="inlineStr">
        <is>
          <t>Dùng ký hiệu A / B / C / D / E (khớp với bảng Thông tin nhóm).</t>
        </is>
      </c>
    </row>
    <row r="23" ht="24.75" customHeight="1">
      <c r="B23" s="21" t="inlineStr">
        <is>
          <t>Mức hỗ trợ AI</t>
        </is>
      </c>
      <c r="C23" s="21" t="inlineStr">
        <is>
          <t>Low = AI gợi ý nhỏ  |  Medium = AI đóng góp đáng kể  |  High = AI tạo phần lớn nội dung</t>
        </is>
      </c>
    </row>
    <row r="24" ht="18" customHeight="1">
      <c r="B24" s="21" t="inlineStr">
        <is>
          <t>Loại Changelog</t>
        </is>
      </c>
      <c r="C24" s="21" t="inlineStr">
        <is>
          <t>Added = thêm mới  |  Changed = cải tiến  |  Fixed = sửa lỗi  |  Removed = xóa bỏ</t>
        </is>
      </c>
    </row>
    <row r="25" ht="18" customHeight="1">
      <c r="B25" s="21" t="inlineStr">
        <is>
          <t>(*) bắt buộc</t>
        </is>
      </c>
      <c r="C25" s="21" t="inlineStr">
        <is>
          <t>Các cột đánh dấu (*) là bắt buộc phải điền.</t>
        </is>
      </c>
    </row>
  </sheetData>
  <mergeCells count="6">
    <mergeCell ref="B21:C21"/>
    <mergeCell ref="B2:C2"/>
    <mergeCell ref="B15:C15"/>
    <mergeCell ref="B3:C3"/>
    <mergeCell ref="B5:C5"/>
    <mergeCell ref="B10:C10"/>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G24"/>
  <sheetViews>
    <sheetView showGridLines="0" tabSelected="0" topLeftCell="B3" zoomScaleNormal="100" workbookViewId="0">
      <selection activeCell="L22" sqref="L22"/>
    </sheetView>
  </sheetViews>
  <sheetFormatPr baseColWidth="8" defaultColWidth="8.6328125" defaultRowHeight="14.5"/>
  <cols>
    <col width="3" customWidth="1" min="1" max="1"/>
    <col width="24" customWidth="1" min="2" max="2"/>
    <col width="32.90625" customWidth="1" min="3" max="3"/>
    <col width="18" customWidth="1" min="4" max="4"/>
    <col width="32.90625" bestFit="1" customWidth="1" min="5" max="5"/>
    <col width="18" customWidth="1" min="6" max="6"/>
    <col width="20" customWidth="1" min="7" max="7"/>
  </cols>
  <sheetData>
    <row r="1" ht="13.5" customHeight="1"/>
    <row r="2" ht="36" customHeight="1">
      <c r="B2" s="36" t="inlineStr">
        <is>
          <t>THÔNG TIN NHÓM — FER202</t>
        </is>
      </c>
      <c r="C2" s="62" t="n"/>
      <c r="D2" s="62" t="n"/>
      <c r="E2" s="62" t="n"/>
      <c r="F2" s="62" t="n"/>
      <c r="G2" s="61" t="n"/>
    </row>
    <row r="3" ht="19.5" customHeight="1">
      <c r="B3" s="27" t="inlineStr">
        <is>
          <t>📋  Thông tin lớp</t>
        </is>
      </c>
      <c r="C3" s="62" t="n"/>
      <c r="D3" s="62" t="n"/>
      <c r="E3" s="62" t="n"/>
      <c r="F3" s="62" t="n"/>
      <c r="G3" s="61" t="n"/>
    </row>
    <row r="4" ht="18" customHeight="1">
      <c r="B4" s="34" t="inlineStr">
        <is>
          <t>Mã lớp học</t>
        </is>
      </c>
      <c r="C4" s="34" t="inlineStr">
        <is>
          <t>FER202_SE20A07</t>
        </is>
      </c>
      <c r="D4" s="62" t="n"/>
      <c r="E4" s="62" t="n"/>
      <c r="F4" s="62" t="n"/>
      <c r="G4" s="62" t="n"/>
    </row>
    <row r="5" ht="18" customHeight="1">
      <c r="B5" s="34" t="inlineStr">
        <is>
          <t>Giảng viên</t>
        </is>
      </c>
      <c r="C5" s="34" t="inlineStr">
        <is>
          <t>Lê Thị Bích Tra  —  traltb@fe.edu.vn</t>
        </is>
      </c>
      <c r="D5" s="62" t="n"/>
      <c r="E5" s="62" t="n"/>
      <c r="F5" s="62" t="n"/>
      <c r="G5" s="62" t="n"/>
    </row>
    <row r="6" ht="18" customHeight="1">
      <c r="B6" s="34" t="inlineStr">
        <is>
          <t>Học kỳ / Năm học</t>
        </is>
      </c>
      <c r="C6" s="34" t="inlineStr">
        <is>
          <t>SU26</t>
        </is>
      </c>
      <c r="D6" s="62" t="n"/>
      <c r="E6" s="62" t="n"/>
      <c r="F6" s="62" t="n"/>
      <c r="G6" s="62" t="n"/>
    </row>
    <row r="7" ht="18" customHeight="1">
      <c r="B7" s="34" t="inlineStr">
        <is>
          <t>Tên nhóm</t>
        </is>
      </c>
      <c r="C7" s="34" t="inlineStr">
        <is>
          <t>Ngủ Là Chính, Code Là Phụ</t>
        </is>
      </c>
      <c r="D7" s="62" t="n"/>
      <c r="E7" s="62" t="n"/>
      <c r="F7" s="62" t="n"/>
      <c r="G7" s="62" t="n"/>
    </row>
    <row r="8" ht="18" customHeight="1">
      <c r="B8" s="34" t="inlineStr">
        <is>
          <t>Số thành viên</t>
        </is>
      </c>
      <c r="C8" s="34" t="n">
        <v>5</v>
      </c>
      <c r="D8" s="62" t="n"/>
      <c r="E8" s="62" t="n"/>
      <c r="F8" s="62" t="n"/>
      <c r="G8" s="62" t="n"/>
    </row>
    <row r="10" ht="19.5" customHeight="1">
      <c r="B10" s="27" t="inlineStr">
        <is>
          <t>👥  Danh sách thành viên</t>
        </is>
      </c>
      <c r="C10" s="62" t="n"/>
      <c r="D10" s="62" t="n"/>
      <c r="E10" s="62" t="n"/>
      <c r="F10" s="62" t="n"/>
      <c r="G10" s="61" t="n"/>
    </row>
    <row r="11">
      <c r="B11" s="5" t="inlineStr">
        <is>
          <t>Ký hiệu (*)</t>
        </is>
      </c>
      <c r="C11" s="5" t="inlineStr">
        <is>
          <t>Họ và tên (*)</t>
        </is>
      </c>
      <c r="D11" s="5" t="inlineStr">
        <is>
          <t>MSSV (*)</t>
        </is>
      </c>
      <c r="E11" s="5" t="inlineStr">
        <is>
          <t>Email (*)</t>
        </is>
      </c>
      <c r="F11" s="5" t="inlineStr">
        <is>
          <t>Vai trò</t>
        </is>
      </c>
      <c r="G11" s="5" t="inlineStr">
        <is>
          <t>Ghi chú</t>
        </is>
      </c>
    </row>
    <row r="12" ht="18" customHeight="1">
      <c r="B12" s="6" t="inlineStr">
        <is>
          <t>A</t>
        </is>
      </c>
      <c r="C12" s="21" t="inlineStr">
        <is>
          <t xml:space="preserve">Lê Đức Anh </t>
        </is>
      </c>
      <c r="D12" s="21" t="inlineStr">
        <is>
          <t>DE190254</t>
        </is>
      </c>
      <c r="E12" s="11" t="inlineStr">
        <is>
          <t>ducanhle.dn@gmail.com</t>
        </is>
      </c>
      <c r="F12" s="21" t="inlineStr">
        <is>
          <t>Trưởng nhóm</t>
        </is>
      </c>
      <c r="G12" s="21" t="n"/>
    </row>
    <row r="13" ht="18" customHeight="1">
      <c r="B13" s="6" t="inlineStr">
        <is>
          <t>B</t>
        </is>
      </c>
      <c r="C13" s="21" t="inlineStr">
        <is>
          <t>Tạ Thị Bích Loan</t>
        </is>
      </c>
      <c r="D13" s="21" t="inlineStr">
        <is>
          <t>DE190707</t>
        </is>
      </c>
      <c r="E13" s="11" t="inlineStr">
        <is>
          <t>taloan.8104@gmail.com</t>
        </is>
      </c>
      <c r="F13" s="21" t="inlineStr">
        <is>
          <t>Thành viên</t>
        </is>
      </c>
      <c r="G13" s="21" t="n"/>
    </row>
    <row r="14" ht="18" customHeight="1">
      <c r="B14" s="6" t="inlineStr">
        <is>
          <t>C</t>
        </is>
      </c>
      <c r="C14" s="21" t="inlineStr">
        <is>
          <t>Trần Phước Đoàn Nhật</t>
        </is>
      </c>
      <c r="D14" s="21" t="inlineStr">
        <is>
          <t>DE190483</t>
        </is>
      </c>
      <c r="E14" s="11" t="inlineStr">
        <is>
          <t>tranphuocdoannhat.2005@gmail.com</t>
        </is>
      </c>
      <c r="F14" s="21" t="inlineStr">
        <is>
          <t>Thành viên</t>
        </is>
      </c>
      <c r="G14" s="21" t="n"/>
    </row>
    <row r="15" ht="18" customHeight="1">
      <c r="B15" s="6" t="inlineStr">
        <is>
          <t>D</t>
        </is>
      </c>
      <c r="C15" s="21" t="inlineStr">
        <is>
          <t>Nguyễn Ánh Tuyết</t>
        </is>
      </c>
      <c r="D15" s="21" t="inlineStr">
        <is>
          <t>DE201074</t>
        </is>
      </c>
      <c r="E15" s="11" t="inlineStr">
        <is>
          <t>atuyet129129@gmail.com</t>
        </is>
      </c>
      <c r="F15" s="21" t="inlineStr">
        <is>
          <t>Thành viên</t>
        </is>
      </c>
      <c r="G15" s="21" t="n"/>
    </row>
    <row r="16" ht="18" customHeight="1">
      <c r="B16" s="6" t="inlineStr">
        <is>
          <t>E</t>
        </is>
      </c>
      <c r="C16" s="21" t="inlineStr">
        <is>
          <t>Đỗ Xuân Thắng</t>
        </is>
      </c>
      <c r="D16" s="10" t="inlineStr">
        <is>
          <t>DE190405</t>
        </is>
      </c>
      <c r="E16" s="11" t="inlineStr">
        <is>
          <t>doxuanthangqb2005@gmai.com</t>
        </is>
      </c>
      <c r="F16" s="21" t="inlineStr">
        <is>
          <t>Thành viên</t>
        </is>
      </c>
      <c r="G16" s="21" t="n"/>
    </row>
    <row r="18" ht="19.5" customHeight="1">
      <c r="B18" s="28" t="inlineStr">
        <is>
          <t>💡  Mô tả dự án</t>
        </is>
      </c>
      <c r="C18" s="62" t="n"/>
      <c r="D18" s="62" t="n"/>
      <c r="E18" s="62" t="n"/>
      <c r="F18" s="62" t="n"/>
      <c r="G18" s="61" t="n"/>
    </row>
    <row r="19" ht="19.5" customHeight="1">
      <c r="B19" s="13" t="inlineStr">
        <is>
          <t>Tên hệ thống</t>
        </is>
      </c>
      <c r="C19" s="33" t="inlineStr">
        <is>
          <t>Integrated HR and Project Management System (HRP)</t>
        </is>
      </c>
      <c r="D19" s="62" t="n"/>
      <c r="E19" s="62" t="n"/>
      <c r="F19" s="62" t="n"/>
      <c r="G19" s="62" t="n"/>
    </row>
    <row r="20" ht="19.5" customHeight="1">
      <c r="B20" s="13" t="inlineStr">
        <is>
          <t>Mô tả ngắn</t>
        </is>
      </c>
      <c r="C20" s="33" t="inlineStr">
        <is>
          <t>Hệ thống quản lý nhân sự và sản phẩm tích hợp</t>
        </is>
      </c>
      <c r="D20" s="62" t="n"/>
      <c r="E20" s="62" t="n"/>
      <c r="F20" s="62" t="n"/>
      <c r="G20" s="62" t="n"/>
    </row>
    <row r="21" ht="19.5" customHeight="1">
      <c r="B21" s="13" t="inlineStr">
        <is>
          <t>Công nghệ sử dụng</t>
        </is>
      </c>
      <c r="C21" s="33" t="inlineStr">
        <is>
          <t xml:space="preserve">Node.js - React - MongoDB - REST API                                </t>
        </is>
      </c>
      <c r="D21" s="62" t="n"/>
      <c r="E21" s="62" t="n"/>
      <c r="F21" s="62" t="n"/>
      <c r="G21" s="62" t="n"/>
    </row>
    <row r="22" ht="19.5" customHeight="1">
      <c r="B22" s="13" t="inlineStr">
        <is>
          <t>Link repo (GitHub/GitLab)</t>
        </is>
      </c>
      <c r="C22" s="35" t="inlineStr">
        <is>
          <t>https://github.com/ldanh270/integrated-hr-and-product-system</t>
        </is>
      </c>
      <c r="D22" s="62" t="n"/>
      <c r="E22" s="62" t="n"/>
      <c r="F22" s="62" t="n"/>
      <c r="G22" s="62" t="n"/>
    </row>
    <row r="23" ht="19.5" customHeight="1">
      <c r="B23" s="13" t="inlineStr">
        <is>
          <t>Link Jira</t>
        </is>
      </c>
      <c r="C23" s="35" t="inlineStr">
        <is>
          <t>https://hrp.atlassian.net/jira/software/projects/JOB/boards/34</t>
        </is>
      </c>
      <c r="D23" s="37" t="n"/>
      <c r="E23" s="37" t="n"/>
      <c r="F23" s="37" t="n"/>
      <c r="G23" s="37" t="n"/>
    </row>
    <row r="24" ht="19.5" customHeight="1">
      <c r="B24" s="13" t="inlineStr">
        <is>
          <t>Link demo</t>
        </is>
      </c>
      <c r="C24" s="34" t="n"/>
      <c r="D24" s="62" t="n"/>
      <c r="E24" s="62" t="n"/>
      <c r="F24" s="62" t="n"/>
      <c r="G24" s="62" t="n"/>
    </row>
  </sheetData>
  <mergeCells count="14">
    <mergeCell ref="B3:G3"/>
    <mergeCell ref="B2:G2"/>
    <mergeCell ref="C21:G21"/>
    <mergeCell ref="C4:G4"/>
    <mergeCell ref="C20:G20"/>
    <mergeCell ref="C7:G7"/>
    <mergeCell ref="B10:G10"/>
    <mergeCell ref="C6:G6"/>
    <mergeCell ref="C24:G24"/>
    <mergeCell ref="C5:G5"/>
    <mergeCell ref="C19:G19"/>
    <mergeCell ref="B18:G18"/>
    <mergeCell ref="C22:G22"/>
    <mergeCell ref="C8:G8"/>
  </mergeCells>
  <hyperlinks>
    <hyperlink xmlns:r="http://schemas.openxmlformats.org/officeDocument/2006/relationships" ref="E12" r:id="rId1"/>
    <hyperlink xmlns:r="http://schemas.openxmlformats.org/officeDocument/2006/relationships" ref="E13" r:id="rId2"/>
    <hyperlink xmlns:r="http://schemas.openxmlformats.org/officeDocument/2006/relationships" ref="E14" r:id="rId3"/>
    <hyperlink xmlns:r="http://schemas.openxmlformats.org/officeDocument/2006/relationships" ref="E15" r:id="rId4"/>
    <hyperlink xmlns:r="http://schemas.openxmlformats.org/officeDocument/2006/relationships" ref="E16" r:id="rId5"/>
    <hyperlink xmlns:r="http://schemas.openxmlformats.org/officeDocument/2006/relationships" ref="C22" r:id="rId6"/>
    <hyperlink xmlns:r="http://schemas.openxmlformats.org/officeDocument/2006/relationships" ref="C23" r:id="rId7"/>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I96"/>
  <sheetViews>
    <sheetView showGridLines="0" tabSelected="0" zoomScale="70" zoomScaleNormal="70" workbookViewId="0">
      <selection activeCell="E88" sqref="E88"/>
    </sheetView>
  </sheetViews>
  <sheetFormatPr baseColWidth="8" defaultColWidth="8.6328125" defaultRowHeight="14.5"/>
  <cols>
    <col width="3" customWidth="1" min="1" max="1"/>
    <col width="12" customWidth="1" min="2" max="2"/>
    <col width="6" customWidth="1" min="3" max="3"/>
    <col width="14.08984375" bestFit="1" customWidth="1" min="4" max="4"/>
    <col width="54.7265625" bestFit="1" customWidth="1" min="5" max="5"/>
    <col width="24.7265625" bestFit="1" customWidth="1" min="6" max="6"/>
    <col width="13.6328125" bestFit="1" customWidth="1" min="7" max="7"/>
    <col width="29.7265625" bestFit="1" customWidth="1" min="8" max="8"/>
    <col width="30.36328125" bestFit="1"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inlineStr">
        <is>
          <t>16/06/2026</t>
        </is>
      </c>
      <c r="C8" s="21" t="inlineStr">
        <is>
          <t>A</t>
        </is>
      </c>
      <c r="D8" s="21" t="inlineStr">
        <is>
          <t>ChatGPT</t>
        </is>
      </c>
      <c r="E8" s="21" t="inlineStr">
        <is>
          <t>Đề xuất cấu trúc thư mục Frontend/Backend cho dự án ReactJS</t>
        </is>
      </c>
      <c r="F8" s="21" t="inlineStr">
        <is>
          <t>README.md</t>
        </is>
      </c>
      <c r="G8" s="21" t="inlineStr">
        <is>
          <t>Medium</t>
        </is>
      </c>
      <c r="H8" s="21" t="inlineStr">
        <is>
          <t>Điều chỉnh lại theo nhu cầu nhóm</t>
        </is>
      </c>
      <c r="I8" s="21" t="inlineStr">
        <is>
          <t>So sánh với yêu cầu RDS</t>
        </is>
      </c>
    </row>
    <row r="9" ht="18" customHeight="1">
      <c r="B9" s="21" t="inlineStr">
        <is>
          <t>16/06/2026</t>
        </is>
      </c>
      <c r="C9" s="21" t="inlineStr">
        <is>
          <t>B</t>
        </is>
      </c>
      <c r="D9" s="21" t="inlineStr">
        <is>
          <t>ChatGPT</t>
        </is>
      </c>
      <c r="E9" s="21" t="inlineStr">
        <is>
          <t>Phân tích Actor và Use Case từ RDS</t>
        </is>
      </c>
      <c r="F9" s="21" t="inlineStr">
        <is>
          <t>UseCaseList.docx</t>
        </is>
      </c>
      <c r="G9" s="21" t="inlineStr">
        <is>
          <t>High</t>
        </is>
      </c>
      <c r="H9" s="21" t="inlineStr">
        <is>
          <t>Loại bỏ UC trùng lặp</t>
        </is>
      </c>
      <c r="I9" s="21" t="inlineStr">
        <is>
          <t>Đối chiếu RDS</t>
        </is>
      </c>
    </row>
    <row r="10" ht="18" customHeight="1">
      <c r="B10" s="21" t="inlineStr">
        <is>
          <t>17/06/2026</t>
        </is>
      </c>
      <c r="C10" s="21" t="inlineStr">
        <is>
          <t>D</t>
        </is>
      </c>
      <c r="D10" s="21" t="inlineStr">
        <is>
          <t>Google Stitch AI</t>
        </is>
      </c>
      <c r="E10" s="21" t="inlineStr">
        <is>
          <t>Tạo mockup Login và Dashboard</t>
        </is>
      </c>
      <c r="F10" s="21" t="inlineStr">
        <is>
          <t>UI_Mockup.fig</t>
        </is>
      </c>
      <c r="G10" s="21" t="inlineStr">
        <is>
          <t>High</t>
        </is>
      </c>
      <c r="H10" s="21" t="inlineStr">
        <is>
          <t>Chỉnh màu sắc và bố cục</t>
        </is>
      </c>
      <c r="I10" s="21" t="inlineStr">
        <is>
          <t>Nhóm review</t>
        </is>
      </c>
    </row>
    <row r="11" ht="18" customHeight="1">
      <c r="B11" s="21" t="inlineStr">
        <is>
          <t>18/06/2026</t>
        </is>
      </c>
      <c r="C11" s="21" t="inlineStr">
        <is>
          <t>E</t>
        </is>
      </c>
      <c r="D11" s="21" t="inlineStr">
        <is>
          <t>ChatGPT</t>
        </is>
      </c>
      <c r="E11" s="21" t="inlineStr">
        <is>
          <t>Gợi ý thiết kế ERD và Database Schema</t>
        </is>
      </c>
      <c r="F11" s="21" t="inlineStr">
        <is>
          <t>ERD.drawio</t>
        </is>
      </c>
      <c r="G11" s="21" t="inlineStr">
        <is>
          <t>High</t>
        </is>
      </c>
      <c r="H11" s="21" t="inlineStr">
        <is>
          <t>Bổ sung quan hệ ProjectMember</t>
        </is>
      </c>
      <c r="I11" s="21" t="inlineStr">
        <is>
          <t>Đối chiếu RDS Database</t>
        </is>
      </c>
    </row>
    <row r="12" ht="18" customHeight="1">
      <c r="B12" s="21" t="inlineStr">
        <is>
          <t>19/06/2026</t>
        </is>
      </c>
      <c r="C12" s="21" t="inlineStr">
        <is>
          <t>C</t>
        </is>
      </c>
      <c r="D12" s="21" t="inlineStr">
        <is>
          <t>ChatGPT</t>
        </is>
      </c>
      <c r="E12" s="21" t="inlineStr">
        <is>
          <t>Hỗ trợ viết README dự án</t>
        </is>
      </c>
      <c r="F12" s="21" t="inlineStr">
        <is>
          <t>README.md</t>
        </is>
      </c>
      <c r="G12" s="21" t="inlineStr">
        <is>
          <t>Medium</t>
        </is>
      </c>
      <c r="H12" s="21" t="inlineStr">
        <is>
          <t>Chỉnh sửa hướng dẫn cài đặt</t>
        </is>
      </c>
      <c r="I12" s="21" t="inlineStr">
        <is>
          <t>Test chạy thực tế</t>
        </is>
      </c>
    </row>
    <row r="13" ht="18" customHeight="1">
      <c r="B13" s="21" t="inlineStr">
        <is>
          <t>20/06/2026</t>
        </is>
      </c>
      <c r="C13" s="21" t="inlineStr">
        <is>
          <t>C</t>
        </is>
      </c>
      <c r="D13" s="21" t="inlineStr">
        <is>
          <t>ChatGPT</t>
        </is>
      </c>
      <c r="E13" s="21" t="inlineStr">
        <is>
          <t>Soạn nội dung Báo cáo Tuần 01</t>
        </is>
      </c>
      <c r="F13" t="inlineStr">
        <is>
          <t>Week01_BaoCaoNhom.docx</t>
        </is>
      </c>
      <c r="G13" s="21" t="inlineStr">
        <is>
          <t>High</t>
        </is>
      </c>
      <c r="H13" s="21" t="inlineStr">
        <is>
          <t>Chỉnh lại theo kết quả nhóm</t>
        </is>
      </c>
      <c r="I13" s="21" t="inlineStr">
        <is>
          <t>Nhóm xác nhận</t>
        </is>
      </c>
    </row>
    <row r="14" ht="18" customHeight="1">
      <c r="B14" s="21" t="inlineStr">
        <is>
          <t>21/06/2026</t>
        </is>
      </c>
      <c r="C14" s="21" t="inlineStr">
        <is>
          <t>B</t>
        </is>
      </c>
      <c r="D14" s="21" t="inlineStr">
        <is>
          <t>ChatGPT</t>
        </is>
      </c>
      <c r="E14" s="21" t="inlineStr">
        <is>
          <t>Tạo Component Tree từ yêu cầu hệ thống</t>
        </is>
      </c>
      <c r="F14" s="21" t="inlineStr">
        <is>
          <t>ComponentTree.drawio</t>
        </is>
      </c>
      <c r="G14" s="21" t="inlineStr">
        <is>
          <t>Medium</t>
        </is>
      </c>
      <c r="H14" s="21" t="inlineStr">
        <is>
          <t>Tối ưu lại cấu trúc component</t>
        </is>
      </c>
      <c r="I14" t="inlineStr">
        <is>
          <t>Đối chiếu mockup</t>
        </is>
      </c>
    </row>
    <row r="15" ht="18" customHeight="1">
      <c r="B15" s="21" t="inlineStr">
        <is>
          <t>21/06/2026</t>
        </is>
      </c>
      <c r="C15" s="21" t="inlineStr">
        <is>
          <t>E</t>
        </is>
      </c>
      <c r="D15" s="21" t="inlineStr">
        <is>
          <t>ChatGPT</t>
        </is>
      </c>
      <c r="E15" s="21" t="inlineStr">
        <is>
          <t>Kiểm tra tính hợp lệ của database schema</t>
        </is>
      </c>
      <c r="F15" s="21" t="inlineStr">
        <is>
          <t>DatabaseSchema.docx</t>
        </is>
      </c>
      <c r="G15" s="21" t="inlineStr">
        <is>
          <t>Medium</t>
        </is>
      </c>
      <c r="H15" s="21" t="inlineStr">
        <is>
          <t>Đổi tên thuộc tính theo convention</t>
        </is>
      </c>
      <c r="I15" s="21" t="inlineStr">
        <is>
          <t>Review nhóm</t>
        </is>
      </c>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inlineStr">
        <is>
          <t>A</t>
        </is>
      </c>
      <c r="D21" s="21" t="n"/>
      <c r="E21" s="21" t="inlineStr">
        <is>
          <t>Khởi tạo repository GitHub và cấu trúc dự án ban đầu</t>
        </is>
      </c>
      <c r="F21" s="21" t="n"/>
      <c r="G21" s="21" t="n"/>
      <c r="H21" s="21" t="inlineStr">
        <is>
          <t>README.md, package.json</t>
        </is>
      </c>
      <c r="I21" s="21" t="inlineStr">
        <is>
          <t>Thiết lập môi trường làm việc nhóm</t>
        </is>
      </c>
    </row>
    <row r="22" ht="18" customHeight="1">
      <c r="B22" s="21" t="n"/>
      <c r="C22" s="21" t="inlineStr">
        <is>
          <t>B</t>
        </is>
      </c>
      <c r="D22" s="21" t="n"/>
      <c r="E22" s="21" t="inlineStr">
        <is>
          <t>Xây dựng danh sách Actor và Use Case từ RDS</t>
        </is>
      </c>
      <c r="F22" s="21" t="n"/>
      <c r="G22" s="21" t="n"/>
      <c r="H22" t="inlineStr">
        <is>
          <t>UseCaseList.docx</t>
        </is>
      </c>
      <c r="I22" s="21" t="inlineStr">
        <is>
          <t>Phục vụ phân tích yêu cầu</t>
        </is>
      </c>
    </row>
    <row r="23" ht="18" customHeight="1">
      <c r="B23" s="21" t="n"/>
      <c r="C23" s="21" t="inlineStr">
        <is>
          <t>E</t>
        </is>
      </c>
      <c r="D23" s="21" t="n"/>
      <c r="E23" s="21" t="inlineStr">
        <is>
          <t>Thiết kế ERD và Database Schema ban đầu</t>
        </is>
      </c>
      <c r="F23" s="21" t="n"/>
      <c r="G23" s="21" t="n"/>
      <c r="H23" s="21" t="inlineStr">
        <is>
          <t>ERD.drawio</t>
        </is>
      </c>
      <c r="I23" s="21" t="inlineStr">
        <is>
          <t>Dựa trên RDS</t>
        </is>
      </c>
    </row>
    <row r="24" ht="18" customHeight="1">
      <c r="B24" s="21" t="n"/>
      <c r="C24" s="21" t="inlineStr">
        <is>
          <t>C</t>
        </is>
      </c>
      <c r="D24" s="21" t="n"/>
      <c r="E24" s="21" t="inlineStr">
        <is>
          <t>Soạn README và tài liệu hướng dẫn cài đặt</t>
        </is>
      </c>
      <c r="F24" s="21" t="n"/>
      <c r="G24" s="21" t="n"/>
      <c r="H24" s="21" t="inlineStr">
        <is>
          <t>README.md</t>
        </is>
      </c>
      <c r="I24" s="21" t="inlineStr">
        <is>
          <t>Hỗ trợ thành viên mới</t>
        </is>
      </c>
    </row>
    <row r="25" ht="18" customHeight="1">
      <c r="B25" s="21" t="n"/>
      <c r="C25" s="21" t="inlineStr">
        <is>
          <t>D</t>
        </is>
      </c>
      <c r="D25" s="21" t="n"/>
      <c r="E25" s="21" t="inlineStr">
        <is>
          <t>Thiết kế mockup Login, Dashboard và Employee</t>
        </is>
      </c>
      <c r="F25" s="21" t="n"/>
      <c r="G25" s="21" t="n"/>
      <c r="H25" s="21" t="inlineStr">
        <is>
          <t>UI_Mockup.fig</t>
        </is>
      </c>
      <c r="I25" s="21" t="inlineStr">
        <is>
          <t>Phiên bản đầu tiên</t>
        </is>
      </c>
    </row>
    <row r="26" ht="15.75" customHeight="1">
      <c r="B26" s="22" t="inlineStr">
        <is>
          <t>Changed — Cải tiến</t>
        </is>
      </c>
      <c r="C26" s="62" t="n"/>
      <c r="D26" s="62" t="n"/>
      <c r="E26" s="62" t="n"/>
      <c r="F26" s="62" t="n"/>
      <c r="G26" s="62" t="n"/>
      <c r="H26" s="62" t="n"/>
      <c r="I26" s="61" t="n"/>
    </row>
    <row r="27" ht="18" customHeight="1">
      <c r="B27" s="21" t="n"/>
      <c r="C27" s="21" t="inlineStr">
        <is>
          <t>E</t>
        </is>
      </c>
      <c r="D27" s="21" t="n"/>
      <c r="E27" s="21" t="inlineStr">
        <is>
          <t>Điều chỉnh quan hệ Project - ProjectMember - Employee</t>
        </is>
      </c>
      <c r="F27" s="21" t="n"/>
      <c r="G27" s="21" t="n"/>
      <c r="H27" s="21" t="inlineStr">
        <is>
          <t>ERD.drawio</t>
        </is>
      </c>
      <c r="I27" s="21" t="inlineStr">
        <is>
          <t>Tránh dư thừa dữ liệu</t>
        </is>
      </c>
    </row>
    <row r="28" ht="18" customHeight="1">
      <c r="B28" s="21" t="n"/>
      <c r="C28" s="21" t="inlineStr">
        <is>
          <t>D</t>
        </is>
      </c>
      <c r="D28" s="21" t="n"/>
      <c r="E28" s="21" t="inlineStr">
        <is>
          <t>Cải tiến giao diện Dashboard theo góp ý nhóm</t>
        </is>
      </c>
      <c r="F28" s="21" t="n"/>
      <c r="G28" s="21" t="n"/>
      <c r="H28" s="21" t="inlineStr">
        <is>
          <t>UI_Mockup.fig</t>
        </is>
      </c>
      <c r="I28" s="21" t="inlineStr">
        <is>
          <t>Bố cục trực quan hơn</t>
        </is>
      </c>
    </row>
    <row r="29" ht="18" customHeight="1">
      <c r="B29" s="21" t="n"/>
      <c r="C29" s="21" t="inlineStr">
        <is>
          <t>B</t>
        </is>
      </c>
      <c r="D29" s="21" t="n"/>
      <c r="E29" s="21" t="inlineStr">
        <is>
          <t>Bổ sung mô tả Use Case Authentication</t>
        </is>
      </c>
      <c r="F29" s="21" t="n"/>
      <c r="G29" s="21" t="n"/>
      <c r="H29" s="21" t="inlineStr">
        <is>
          <t>RequirementAnalysis.docx</t>
        </is>
      </c>
      <c r="I29" s="21" t="inlineStr">
        <is>
          <t>Chi tiết hơn</t>
        </is>
      </c>
    </row>
    <row r="30" ht="15.75" customHeight="1">
      <c r="B30" s="22" t="inlineStr">
        <is>
          <t>Fixed — Sửa lỗi</t>
        </is>
      </c>
      <c r="C30" s="62" t="n"/>
      <c r="D30" s="62" t="n"/>
      <c r="E30" s="62" t="n"/>
      <c r="F30" s="62" t="n"/>
      <c r="G30" s="62" t="n"/>
      <c r="H30" s="62" t="n"/>
      <c r="I30" s="61" t="n"/>
    </row>
    <row r="31" ht="18" customHeight="1">
      <c r="B31" s="21" t="n"/>
      <c r="C31" s="21" t="inlineStr">
        <is>
          <t>A</t>
        </is>
      </c>
      <c r="D31" s="21" t="n"/>
      <c r="E31" s="21" t="inlineStr">
        <is>
          <t>Sửa lỗi cấu hình Git ignore</t>
        </is>
      </c>
      <c r="F31" s="21" t="n"/>
      <c r="G31" s="21" t="n"/>
      <c r="H31" t="inlineStr">
        <is>
          <t>.gitignore</t>
        </is>
      </c>
      <c r="I31" s="21" t="inlineStr">
        <is>
          <t>Tránh upload node_modules</t>
        </is>
      </c>
    </row>
    <row r="32" ht="18" customHeight="1">
      <c r="B32" s="21" t="n"/>
      <c r="C32" s="21" t="inlineStr">
        <is>
          <t>C</t>
        </is>
      </c>
      <c r="D32" s="21" t="n"/>
      <c r="E32" s="21" t="inlineStr">
        <is>
          <t>Chỉnh sửa lỗi định dạng báo cáo tuần 01</t>
        </is>
      </c>
      <c r="F32" s="21" t="n"/>
      <c r="G32" s="21" t="n"/>
      <c r="H32" s="21" t="inlineStr">
        <is>
          <t>Week01_BaoCaoNhom.docx</t>
        </is>
      </c>
      <c r="I32" s="21" t="inlineStr">
        <is>
          <t>Theo template môn học</t>
        </is>
      </c>
    </row>
    <row r="33" ht="18" customHeight="1">
      <c r="B33" s="21" t="n"/>
      <c r="C33" s="21" t="inlineStr">
        <is>
          <t>E</t>
        </is>
      </c>
      <c r="D33" s="21" t="n"/>
      <c r="E33" s="21" t="inlineStr">
        <is>
          <t>Sửa khóa ngoại giữa Attendance và Employee</t>
        </is>
      </c>
      <c r="F33" s="21" t="n"/>
      <c r="G33" s="21" t="n"/>
      <c r="H33" s="21" t="inlineStr">
        <is>
          <t>DatabaseSchema.sql</t>
        </is>
      </c>
      <c r="I33" s="21" t="inlineStr">
        <is>
          <t>Đảm bảo toàn vẹn dữ liệu</t>
        </is>
      </c>
    </row>
    <row r="34" ht="15.75" customHeight="1">
      <c r="B34" s="22" t="inlineStr">
        <is>
          <t>Removed — Xóa bỏ</t>
        </is>
      </c>
      <c r="C34" s="62" t="n"/>
      <c r="D34" s="62" t="n"/>
      <c r="E34" s="62" t="n"/>
      <c r="F34" s="62" t="n"/>
      <c r="G34" s="62" t="n"/>
      <c r="H34" s="62" t="n"/>
      <c r="I34" s="61" t="n"/>
    </row>
    <row r="35" ht="18" customHeight="1">
      <c r="B35" s="21" t="n"/>
      <c r="C35" s="21" t="inlineStr">
        <is>
          <t>D</t>
        </is>
      </c>
      <c r="D35" s="21" t="n"/>
      <c r="E35" s="21" t="inlineStr">
        <is>
          <t>Xóa mockup Dashboard cũ không còn sử dụng</t>
        </is>
      </c>
      <c r="F35" s="21" t="n"/>
      <c r="G35" s="21" t="n"/>
      <c r="H35" s="21" t="inlineStr">
        <is>
          <t>UI_Old.fig</t>
        </is>
      </c>
      <c r="I35" s="21" t="inlineStr">
        <is>
          <t>Thay bằng phiên bản mới</t>
        </is>
      </c>
    </row>
    <row r="36" ht="18" customHeight="1">
      <c r="B36" s="21" t="n"/>
      <c r="C36" s="21" t="inlineStr">
        <is>
          <t>B</t>
        </is>
      </c>
      <c r="D36" s="21" t="n"/>
      <c r="E36" s="21" t="inlineStr">
        <is>
          <t>Loại bỏ Use Case trùng lặp trong tài liệu phân tích</t>
        </is>
      </c>
      <c r="F36" s="21" t="n"/>
      <c r="G36" s="21" t="n"/>
      <c r="H36" s="21" t="inlineStr">
        <is>
          <t>UseCaseList.docx</t>
        </is>
      </c>
      <c r="I36" s="21" t="inlineStr">
        <is>
          <t>Giảm dư thừa</t>
        </is>
      </c>
    </row>
    <row r="37" ht="18" customHeight="1">
      <c r="B37" s="21" t="n"/>
      <c r="C37" s="21" t="n"/>
      <c r="D37" s="21" t="n"/>
      <c r="E37" s="21" t="n"/>
      <c r="F37" s="21" t="n"/>
      <c r="G37" s="21" t="n"/>
      <c r="H37" s="21" t="n"/>
      <c r="I37" s="21" t="n"/>
    </row>
    <row r="39" ht="21.75" customHeight="1">
      <c r="B39" s="23" t="inlineStr">
        <is>
          <t>💡  BẢNG 3: Nhật ký Prompt AI  (PROMPTS)</t>
        </is>
      </c>
      <c r="C39" s="62" t="n"/>
      <c r="D39" s="62" t="n"/>
      <c r="E39" s="62" t="n"/>
      <c r="F39" s="62" t="n"/>
      <c r="G39" s="62" t="n"/>
      <c r="H39" s="62" t="n"/>
      <c r="I39" s="61" t="n"/>
    </row>
    <row r="40" ht="13.5" customHeight="1">
      <c r="B40" s="48" t="inlineStr">
        <is>
          <t>Mỗi prompt quan trọng ghi 1 block gồm 4 dòng. Ghi rõ prompt đã dùng, kết quả, cách nhóm sử dụng, và kiểm chứng.</t>
        </is>
      </c>
      <c r="C40" s="62" t="n"/>
      <c r="D40" s="62" t="n"/>
      <c r="E40" s="62" t="n"/>
      <c r="F40" s="62" t="n"/>
      <c r="G40" s="62" t="n"/>
      <c r="H40" s="62" t="n"/>
      <c r="I40" s="62" t="n"/>
    </row>
    <row r="41" ht="19.5" customHeight="1">
      <c r="B41" s="24" t="inlineStr">
        <is>
          <t>Prompt #</t>
        </is>
      </c>
      <c r="C41" s="24" t="inlineStr">
        <is>
          <t>TV</t>
        </is>
      </c>
      <c r="D41" s="24" t="inlineStr">
        <is>
          <t>Công cụ AI</t>
        </is>
      </c>
      <c r="E41" s="24" t="inlineStr">
        <is>
          <t>Prompt đã dùng (nguyên văn) (*)</t>
        </is>
      </c>
      <c r="F41" s="62" t="n"/>
      <c r="G41" s="62" t="n"/>
      <c r="H41" s="62" t="n"/>
      <c r="I41" s="61" t="n"/>
    </row>
    <row r="42" ht="21.75" customHeight="1">
      <c r="B42" s="20" t="inlineStr">
        <is>
          <t>Prompt #1</t>
        </is>
      </c>
      <c r="C42" s="62" t="n"/>
      <c r="D42" s="61" t="n"/>
      <c r="E42" s="21" t="inlineStr">
        <is>
          <t>Analyze the HR &amp; Project Management System requirements and generate a complete list of Actors and Use Cases grouped by modules.</t>
        </is>
      </c>
      <c r="F42" s="62" t="n"/>
      <c r="G42" s="62" t="n"/>
      <c r="H42" s="62" t="n"/>
      <c r="I42" s="61" t="n"/>
    </row>
    <row r="43" ht="21.75" customHeight="1">
      <c r="B43" s="14" t="inlineStr">
        <is>
          <t>Kết quả AI trả về và vấn đề gặp phải:</t>
        </is>
      </c>
      <c r="C43" s="62" t="n"/>
      <c r="D43" s="61" t="n"/>
      <c r="E43" s="21" t="inlineStr">
        <is>
          <t>AI sinh danh sách Actor và Use Case tương đối đầy đủ nhưng thiếu một số Use Case thuộc Attendance và Payroll.</t>
        </is>
      </c>
      <c r="F43" s="62" t="n"/>
      <c r="G43" s="62" t="n"/>
      <c r="H43" s="62" t="n"/>
      <c r="I43" s="61" t="n"/>
    </row>
    <row r="44" ht="21.75" customHeight="1">
      <c r="B44" s="14" t="inlineStr">
        <is>
          <t>Nhóm đã chỉnh sửa / sử dụng như thế nào:</t>
        </is>
      </c>
      <c r="C44" s="62" t="n"/>
      <c r="D44" s="61" t="n"/>
      <c r="E44" s="21" t="inlineStr">
        <is>
          <t>Đối chiếu lại RDS và bổ sung các Use Case còn thiếu trước khi đưa vào tài liệu phân tích.</t>
        </is>
      </c>
      <c r="F44" s="62" t="n"/>
      <c r="G44" s="62" t="n"/>
      <c r="H44" s="62" t="n"/>
      <c r="I44" s="61" t="n"/>
    </row>
    <row r="45" ht="21.75" customHeight="1">
      <c r="B45" s="14" t="inlineStr">
        <is>
          <t>Kiểm chứng (test pass/fail, kết quả đúng không):</t>
        </is>
      </c>
      <c r="C45" s="62" t="n"/>
      <c r="D45" s="61" t="n"/>
      <c r="E45" s="21" t="inlineStr">
        <is>
          <t>PASS. Danh sách cuối cùng khớp với RDS.</t>
        </is>
      </c>
      <c r="F45" s="62" t="n"/>
      <c r="G45" s="62" t="n"/>
      <c r="H45" s="62" t="n"/>
      <c r="I45" s="61" t="n"/>
    </row>
    <row r="46" ht="21.75" customHeight="1">
      <c r="B46" s="20" t="inlineStr">
        <is>
          <t>Prompt #2</t>
        </is>
      </c>
      <c r="C46" s="62" t="n"/>
      <c r="D46" s="61" t="n"/>
      <c r="E46" s="21" t="inlineStr">
        <is>
          <t>Generate an ERD for a Human Resource and Project Management System including Employee, Project, Task, Attendance and Payroll modules.</t>
        </is>
      </c>
      <c r="F46" s="62" t="n"/>
      <c r="G46" s="62" t="n"/>
      <c r="H46" s="62" t="n"/>
      <c r="I46" s="61" t="n"/>
    </row>
    <row r="47" ht="21.75" customHeight="1">
      <c r="B47" s="14" t="inlineStr">
        <is>
          <t>Kết quả AI trả về và vấn đề gặp phải:</t>
        </is>
      </c>
      <c r="C47" s="62" t="n"/>
      <c r="D47" s="61" t="n"/>
      <c r="E47" s="21" t="inlineStr">
        <is>
          <t>AI tạo ERD khá đầy đủ nhưng chưa thể hiện đúng quan hệ nhiều-nhiều giữa Employee và Project.</t>
        </is>
      </c>
      <c r="F47" s="62" t="n"/>
      <c r="G47" s="62" t="n"/>
      <c r="H47" s="62" t="n"/>
      <c r="I47" s="61" t="n"/>
    </row>
    <row r="48" ht="21.75" customHeight="1">
      <c r="B48" s="14" t="inlineStr">
        <is>
          <t>Nhóm đã chỉnh sửa / sử dụng như thế nào:</t>
        </is>
      </c>
      <c r="C48" s="62" t="n"/>
      <c r="D48" s="61" t="n"/>
      <c r="E48" s="21" t="inlineStr">
        <is>
          <t>Thêm bảng trung gian ProjectMember và cập nhật lại sơ đồ.</t>
        </is>
      </c>
      <c r="F48" s="62" t="n"/>
      <c r="G48" s="62" t="n"/>
      <c r="H48" s="62" t="n"/>
      <c r="I48" s="61" t="n"/>
    </row>
    <row r="49" ht="21.75" customHeight="1">
      <c r="B49" s="14" t="inlineStr">
        <is>
          <t>Kiểm chứng (test pass/fail, kết quả đúng không):</t>
        </is>
      </c>
      <c r="C49" s="62" t="n"/>
      <c r="D49" s="61" t="n"/>
      <c r="E49" s="21" t="inlineStr">
        <is>
          <t>PASS sau khi chỉnh sửa thủ công.</t>
        </is>
      </c>
      <c r="F49" s="62" t="n"/>
      <c r="G49" s="62" t="n"/>
      <c r="H49" s="62" t="n"/>
      <c r="I49" s="61" t="n"/>
    </row>
    <row r="50" ht="21.75" customHeight="1">
      <c r="B50" s="20" t="inlineStr">
        <is>
          <t>Prompt #3</t>
        </is>
      </c>
      <c r="C50" s="62" t="n"/>
      <c r="D50" s="61" t="n"/>
      <c r="E50" s="21" t="inlineStr">
        <is>
          <t>Create a modern dashboard UI for HR management system with employee statistics, attendance summary and project overview.</t>
        </is>
      </c>
      <c r="F50" s="62" t="n"/>
      <c r="G50" s="62" t="n"/>
      <c r="H50" s="62" t="n"/>
      <c r="I50" s="61" t="n"/>
    </row>
    <row r="51" ht="21.75" customHeight="1">
      <c r="B51" s="14" t="inlineStr">
        <is>
          <t>Kết quả AI trả về và vấn đề gặp phải:</t>
        </is>
      </c>
      <c r="C51" s="62" t="n"/>
      <c r="D51" s="61" t="n"/>
      <c r="E51" s="21" t="inlineStr">
        <is>
          <t>AI tạo bố cục giao diện đẹp nhưng một số thành phần không phù hợp với yêu cầu môn học.</t>
        </is>
      </c>
      <c r="F51" s="62" t="n"/>
      <c r="G51" s="62" t="n"/>
      <c r="H51" s="62" t="n"/>
      <c r="I51" s="61" t="n"/>
    </row>
    <row r="52" ht="21.75" customHeight="1">
      <c r="B52" s="14" t="inlineStr">
        <is>
          <t>Nhóm đã chỉnh sửa / sử dụng như thế nào:</t>
        </is>
      </c>
      <c r="C52" s="62" t="n"/>
      <c r="D52" s="61" t="n"/>
      <c r="E52" s="21" t="inlineStr">
        <is>
          <t>Điều chỉnh màu sắc, bố cục và thêm các module theo RDS.</t>
        </is>
      </c>
      <c r="F52" s="62" t="n"/>
      <c r="G52" s="62" t="n"/>
      <c r="H52" s="62" t="n"/>
      <c r="I52" s="61" t="n"/>
    </row>
    <row r="53" ht="21.75" customHeight="1">
      <c r="B53" s="14" t="inlineStr">
        <is>
          <t>Kiểm chứng (test pass/fail, kết quả đúng không):</t>
        </is>
      </c>
      <c r="C53" s="62" t="n"/>
      <c r="D53" s="61" t="n"/>
      <c r="E53" s="21" t="inlineStr">
        <is>
          <t>PASS sau khi nhóm review.</t>
        </is>
      </c>
      <c r="F53" s="62" t="n"/>
      <c r="G53" s="62" t="n"/>
      <c r="H53" s="62" t="n"/>
      <c r="I53" s="61" t="n"/>
    </row>
    <row r="54" ht="21.75" customHeight="1">
      <c r="B54" s="20" t="inlineStr">
        <is>
          <t>Prompt #4</t>
        </is>
      </c>
      <c r="C54" s="62" t="n"/>
      <c r="D54" s="61" t="n"/>
      <c r="E54" s="21" t="inlineStr">
        <is>
          <t>Help me write a README file for a ReactJS project including installation, project structure and team information.</t>
        </is>
      </c>
      <c r="F54" s="62" t="n"/>
      <c r="G54" s="62" t="n"/>
      <c r="H54" s="62" t="n"/>
      <c r="I54" s="61" t="n"/>
    </row>
    <row r="55" ht="21.75" customHeight="1">
      <c r="B55" s="14" t="inlineStr">
        <is>
          <t>Kết quả AI trả về và vấn đề gặp phải:</t>
        </is>
      </c>
      <c r="C55" s="62" t="n"/>
      <c r="D55" s="61" t="n"/>
      <c r="E55" s="21" t="inlineStr">
        <is>
          <t>AI tạo README đầy đủ nhưng thiếu phần hướng dẫn chạy JSON Server.</t>
        </is>
      </c>
      <c r="F55" s="62" t="n"/>
      <c r="G55" s="62" t="n"/>
      <c r="H55" s="62" t="n"/>
      <c r="I55" s="61" t="n"/>
    </row>
    <row r="56" ht="21.75" customHeight="1">
      <c r="B56" s="14" t="inlineStr">
        <is>
          <t>Nhóm đã chỉnh sửa / sử dụng như thế nào:</t>
        </is>
      </c>
      <c r="C56" s="62" t="n"/>
      <c r="D56" s="61" t="n"/>
      <c r="E56" s="21" t="inlineStr">
        <is>
          <t>Bổ sung các lệnh cài đặt và chạy dự án thực tế.</t>
        </is>
      </c>
      <c r="F56" s="62" t="n"/>
      <c r="G56" s="62" t="n"/>
      <c r="H56" s="62" t="n"/>
      <c r="I56" s="61" t="n"/>
    </row>
    <row r="57" ht="21.75" customHeight="1">
      <c r="B57" s="14" t="inlineStr">
        <is>
          <t>Kiểm chứng (test pass/fail, kết quả đúng không):</t>
        </is>
      </c>
      <c r="C57" s="62" t="n"/>
      <c r="D57" s="61" t="n"/>
      <c r="E57" s="21" t="inlineStr">
        <is>
          <t>PASS. Thành viên khác có thể cài đặt thành công.</t>
        </is>
      </c>
      <c r="F57" s="62" t="n"/>
      <c r="G57" s="62" t="n"/>
      <c r="H57" s="62" t="n"/>
      <c r="I57" s="61" t="n"/>
    </row>
    <row r="58">
      <c r="E58" s="21" t="n"/>
      <c r="F58" s="62" t="n"/>
      <c r="G58" s="62" t="n"/>
      <c r="H58" s="62" t="n"/>
      <c r="I58" s="61" t="n"/>
    </row>
    <row r="59" ht="21.75" customHeight="1">
      <c r="B59" s="18" t="inlineStr">
        <is>
          <t>🪞  BẢNG 4: Suy ngẫm cuối tuần  (REFLECTION)</t>
        </is>
      </c>
      <c r="C59" s="62" t="n"/>
      <c r="D59" s="62" t="n"/>
      <c r="E59" s="62" t="n"/>
      <c r="F59" s="62" t="n"/>
      <c r="G59" s="62" t="n"/>
      <c r="H59" s="62" t="n"/>
      <c r="I59" s="61" t="n"/>
    </row>
    <row r="60" ht="13.5" customHeight="1">
      <c r="B60" s="48" t="inlineStr">
        <is>
          <t>Mỗi thành viên điền 1 block riêng. Mục 'AI sai/thiếu' bắt buộc ≥ 2 ví dụ cụ thể. Viết thành câu đầy đủ.</t>
        </is>
      </c>
      <c r="C60" s="62" t="n"/>
      <c r="D60" s="62" t="n"/>
      <c r="E60" s="62" t="n"/>
      <c r="F60" s="62" t="n"/>
      <c r="G60" s="62" t="n"/>
      <c r="H60" s="62" t="n"/>
      <c r="I60" s="62" t="n"/>
    </row>
    <row r="61" ht="18" customHeight="1">
      <c r="B61" s="16" t="inlineStr">
        <is>
          <t>Thành viên A — Trưởng nhóm</t>
        </is>
      </c>
      <c r="C61" s="62" t="n"/>
      <c r="D61" s="62" t="n"/>
      <c r="E61" s="62" t="n"/>
      <c r="F61" s="62" t="n"/>
      <c r="G61" s="62" t="n"/>
      <c r="H61" s="62" t="n"/>
      <c r="I61" s="61" t="n"/>
    </row>
    <row r="62" ht="18" customHeight="1">
      <c r="B62" s="13" t="inlineStr">
        <is>
          <t>Đã làm gì trong tuần này? (*)</t>
        </is>
      </c>
      <c r="C62" s="62" t="n"/>
      <c r="D62" s="61" t="n"/>
      <c r="E62" s="17" t="inlineStr">
        <is>
          <t>Khởi tạo GitHub Repository, thiết lập cấu trúc dự án, quản lý phân công công việc và rà soát tiến độ nhóm.</t>
        </is>
      </c>
    </row>
    <row r="63" ht="28.5" customHeight="1">
      <c r="B63" s="13" t="inlineStr">
        <is>
          <t>AI đã hỗ trợ như thế nào?</t>
        </is>
      </c>
      <c r="C63" s="62" t="n"/>
      <c r="D63" s="61" t="n"/>
      <c r="E63" s="17" t="inlineStr">
        <is>
          <t>ChatGPT hỗ trợ đề xuất cấu trúc thư mục, quy trình phát triển dự án và chuẩn hóa tài liệu README.</t>
        </is>
      </c>
    </row>
    <row r="64" ht="31.5" customHeight="1">
      <c r="B64" s="13" t="inlineStr">
        <is>
          <t>AI sai hoặc thiếu ở đâu? (*)</t>
        </is>
      </c>
      <c r="C64" s="62" t="n"/>
      <c r="D64" s="61" t="n"/>
      <c r="E64" s="17" t="inlineStr">
        <is>
          <t>AI đề xuất cấu trúc thư mục chưa phù hợp hoàn toàn với ReactJS Vite.
AI bỏ sót một số thư mục phục vụ quản lý API và service layer.</t>
        </is>
      </c>
    </row>
    <row r="65" ht="18" customHeight="1">
      <c r="B65" s="13" t="inlineStr">
        <is>
          <t>Khó khăn gặp phải</t>
        </is>
      </c>
      <c r="C65" s="62" t="n"/>
      <c r="D65" s="61" t="n"/>
      <c r="E65" s="17" t="inlineStr">
        <is>
          <t>Các thành viên chưa thống nhất quy trình làm việc Git.</t>
        </is>
      </c>
    </row>
    <row r="66" ht="18" customHeight="1">
      <c r="B66" s="13" t="inlineStr">
        <is>
          <t>Nếu làm lại, sẽ cải thiện điều gì?</t>
        </is>
      </c>
      <c r="C66" s="62" t="n"/>
      <c r="D66" s="61" t="n"/>
      <c r="E66" s="17" t="inlineStr">
        <is>
          <t>Thiết lập coding convention và Git workflow sớm hơn.</t>
        </is>
      </c>
    </row>
    <row r="68" ht="18" customHeight="1">
      <c r="B68" s="16" t="inlineStr">
        <is>
          <t>Thành viên B — Thành viên</t>
        </is>
      </c>
      <c r="C68" s="62" t="n"/>
      <c r="D68" s="62" t="n"/>
      <c r="E68" s="62" t="n"/>
      <c r="F68" s="62" t="n"/>
      <c r="G68" s="62" t="n"/>
      <c r="H68" s="62" t="n"/>
      <c r="I68" s="61" t="n"/>
    </row>
    <row r="69" ht="18" customHeight="1">
      <c r="B69" s="13" t="inlineStr">
        <is>
          <t>Đã làm gì trong tuần này? (*)</t>
        </is>
      </c>
      <c r="C69" s="62" t="n"/>
      <c r="D69" s="61" t="n"/>
      <c r="E69" s="17" t="inlineStr">
        <is>
          <t>Phân tích RDS, xác định Actor, Use Case và Functional Requirement.</t>
        </is>
      </c>
    </row>
    <row r="70" ht="18" customHeight="1">
      <c r="B70" s="13" t="inlineStr">
        <is>
          <t>AI đã hỗ trợ như thế nào?</t>
        </is>
      </c>
      <c r="C70" s="62" t="n"/>
      <c r="D70" s="61" t="n"/>
      <c r="E70" s="17" t="inlineStr">
        <is>
          <t>ChatGPT hỗ trợ trích xuất Use Case và nhóm các chức năng theo module.</t>
        </is>
      </c>
    </row>
    <row r="71" ht="36.5" customHeight="1">
      <c r="B71" s="13" t="inlineStr">
        <is>
          <t>AI sai hoặc thiếu ở đâu? (*)</t>
        </is>
      </c>
      <c r="C71" s="62" t="n"/>
      <c r="D71" s="61" t="n"/>
      <c r="E71" s="17" t="inlineStr">
        <is>
          <t>AI thiếu một số Use Case Attendance.
AI gộp nhầm một số chức năng Payroll và Application Form.</t>
        </is>
      </c>
    </row>
    <row r="72" ht="18" customHeight="1">
      <c r="B72" s="13" t="inlineStr">
        <is>
          <t>Khó khăn gặp phải</t>
        </is>
      </c>
      <c r="C72" s="62" t="n"/>
      <c r="D72" s="61" t="n"/>
      <c r="E72" s="17" t="inlineStr">
        <is>
          <t>RDS dài và nhiều module.</t>
        </is>
      </c>
    </row>
    <row r="73" ht="18" customHeight="1">
      <c r="B73" s="13" t="inlineStr">
        <is>
          <t>Nếu làm lại, sẽ cải thiện điều gì?</t>
        </is>
      </c>
      <c r="C73" s="62" t="n"/>
      <c r="D73" s="61" t="n"/>
      <c r="E73" s="17" t="inlineStr">
        <is>
          <t>Chia nhỏ tài liệu trước khi sử dụng AI phân tích.</t>
        </is>
      </c>
    </row>
    <row r="75" ht="18" customHeight="1">
      <c r="B75" s="16" t="inlineStr">
        <is>
          <t>Thành viên C — Thành viên</t>
        </is>
      </c>
      <c r="C75" s="62" t="n"/>
      <c r="D75" s="62" t="n"/>
      <c r="E75" s="62" t="n"/>
      <c r="F75" s="62" t="n"/>
      <c r="G75" s="62" t="n"/>
      <c r="H75" s="62" t="n"/>
      <c r="I75" s="61" t="n"/>
    </row>
    <row r="76" ht="18" customHeight="1">
      <c r="B76" s="13" t="inlineStr">
        <is>
          <t>Đã làm gì trong tuần này? (*)</t>
        </is>
      </c>
      <c r="C76" s="62" t="n"/>
      <c r="D76" s="61" t="n"/>
      <c r="E76" s="14" t="inlineStr">
        <is>
          <t>Viết README, tổng hợp báo cáo tuần 01, hỗ trợ chuẩn hóa tài liệu nhóm.</t>
        </is>
      </c>
      <c r="F76" s="62" t="n"/>
      <c r="G76" s="62" t="n"/>
      <c r="H76" s="62" t="n"/>
      <c r="I76" s="61" t="n"/>
    </row>
    <row r="77" ht="18" customHeight="1">
      <c r="B77" s="13" t="inlineStr">
        <is>
          <t>AI đã hỗ trợ như thế nào?</t>
        </is>
      </c>
      <c r="C77" s="62" t="n"/>
      <c r="D77" s="61" t="n"/>
      <c r="E77" s="14" t="inlineStr">
        <is>
          <t>ChatGPT hỗ trợ tạo README, viết mô tả dự án và gợi ý nội dung báo cáo.</t>
        </is>
      </c>
      <c r="F77" s="62" t="n"/>
      <c r="G77" s="62" t="n"/>
      <c r="H77" s="62" t="n"/>
      <c r="I77" s="61" t="n"/>
    </row>
    <row r="78" ht="31.5" customHeight="1">
      <c r="B78" s="13" t="inlineStr">
        <is>
          <t>AI sai hoặc thiếu ở đâu? (*)</t>
        </is>
      </c>
      <c r="C78" s="62" t="n"/>
      <c r="D78" s="61" t="n"/>
      <c r="E78" s="14" t="inlineStr">
        <is>
          <t>AI thiếu hướng dẫn chạy JSON Server.
AI sử dụng một số thuật ngữ chưa đúng với yêu cầu FER202.</t>
        </is>
      </c>
      <c r="F78" s="62" t="n"/>
      <c r="G78" s="62" t="n"/>
      <c r="H78" s="62" t="n"/>
      <c r="I78" s="61" t="n"/>
    </row>
    <row r="79" ht="18" customHeight="1">
      <c r="B79" s="13" t="inlineStr">
        <is>
          <t>Khó khăn gặp phải</t>
        </is>
      </c>
      <c r="C79" s="62" t="n"/>
      <c r="D79" s="61" t="n"/>
      <c r="E79" s="14" t="inlineStr">
        <is>
          <t>Tổng hợp thông tin từ nhiều thành viên và nhiều tài liệu khác nhau.</t>
        </is>
      </c>
      <c r="F79" s="62" t="n"/>
      <c r="G79" s="62" t="n"/>
      <c r="H79" s="62" t="n"/>
      <c r="I79" s="61" t="n"/>
    </row>
    <row r="80" ht="18" customHeight="1">
      <c r="B80" s="13" t="inlineStr">
        <is>
          <t>Nếu làm lại, sẽ cải thiện điều gì?</t>
        </is>
      </c>
      <c r="C80" s="62" t="n"/>
      <c r="D80" s="61" t="n"/>
      <c r="E80" s="14" t="inlineStr">
        <is>
          <t>Chuẩn hóa biểu mẫu báo cáo ngay từ đầu tuần.</t>
        </is>
      </c>
      <c r="F80" s="62" t="n"/>
      <c r="G80" s="62" t="n"/>
      <c r="H80" s="62" t="n"/>
      <c r="I80" s="61" t="n"/>
    </row>
    <row r="82" ht="18" customHeight="1">
      <c r="B82" s="16" t="inlineStr">
        <is>
          <t>Thành viên D — Thành viên</t>
        </is>
      </c>
      <c r="C82" s="62" t="n"/>
      <c r="D82" s="62" t="n"/>
      <c r="E82" s="62" t="n"/>
      <c r="F82" s="62" t="n"/>
      <c r="G82" s="62" t="n"/>
      <c r="H82" s="62" t="n"/>
      <c r="I82" s="61" t="n"/>
    </row>
    <row r="83" ht="18" customHeight="1">
      <c r="B83" s="13" t="inlineStr">
        <is>
          <t>Đã làm gì trong tuần này? (*)</t>
        </is>
      </c>
      <c r="C83" s="62" t="n"/>
      <c r="D83" s="61" t="n"/>
      <c r="E83" s="14" t="inlineStr">
        <is>
          <t>Thiết kế mockup giao diện Login, Dashboard và Employee Management.</t>
        </is>
      </c>
      <c r="F83" s="62" t="n"/>
      <c r="G83" s="62" t="n"/>
      <c r="H83" s="62" t="n"/>
      <c r="I83" s="61" t="n"/>
    </row>
    <row r="84" ht="18" customHeight="1">
      <c r="B84" s="13" t="inlineStr">
        <is>
          <t>AI đã hỗ trợ như thế nào?</t>
        </is>
      </c>
      <c r="C84" s="62" t="n"/>
      <c r="D84" s="61" t="n"/>
      <c r="E84" s="14" t="inlineStr">
        <is>
          <t>Google Stitch AI hỗ trợ tạo giao diện mẫu nhanh chóng.</t>
        </is>
      </c>
      <c r="F84" s="62" t="n"/>
      <c r="G84" s="62" t="n"/>
      <c r="H84" s="62" t="n"/>
      <c r="I84" s="61" t="n"/>
    </row>
    <row r="85" ht="29.5" customHeight="1">
      <c r="B85" s="13" t="inlineStr">
        <is>
          <t>AI sai hoặc thiếu ở đâu? (*)</t>
        </is>
      </c>
      <c r="C85" s="62" t="n"/>
      <c r="D85" s="61" t="n"/>
      <c r="E85" s="14" t="inlineStr">
        <is>
          <t>Một số layout chưa phù hợp với nghiệp vụ thực tế.
Thiếu các màn hình Attendance và Payroll.</t>
        </is>
      </c>
      <c r="F85" s="62" t="n"/>
      <c r="G85" s="62" t="n"/>
      <c r="H85" s="62" t="n"/>
      <c r="I85" s="61" t="n"/>
    </row>
    <row r="86" ht="18" customHeight="1">
      <c r="B86" s="13" t="inlineStr">
        <is>
          <t>Khó khăn gặp phải</t>
        </is>
      </c>
      <c r="C86" s="62" t="n"/>
      <c r="D86" s="61" t="n"/>
      <c r="E86" s="14" t="inlineStr">
        <is>
          <t>Khó thống nhất giao diện giữa các module.</t>
        </is>
      </c>
      <c r="F86" s="62" t="n"/>
      <c r="G86" s="62" t="n"/>
      <c r="H86" s="62" t="n"/>
      <c r="I86" s="61" t="n"/>
    </row>
    <row r="87" ht="18" customHeight="1">
      <c r="B87" s="13" t="inlineStr">
        <is>
          <t>Nếu làm lại, sẽ cải thiện điều gì?</t>
        </is>
      </c>
      <c r="C87" s="62" t="n"/>
      <c r="D87" s="61" t="n"/>
      <c r="E87" s="14" t="inlineStr">
        <is>
          <t>Thiết kế Design System trước khi tạo mockup.</t>
        </is>
      </c>
      <c r="F87" s="62" t="n"/>
      <c r="G87" s="62" t="n"/>
      <c r="H87" s="62" t="n"/>
      <c r="I87" s="61" t="n"/>
    </row>
    <row r="89" ht="18" customHeight="1">
      <c r="B89" s="16" t="inlineStr">
        <is>
          <t>Thành viên E — Thành viên</t>
        </is>
      </c>
      <c r="C89" s="62" t="n"/>
      <c r="D89" s="62" t="n"/>
      <c r="E89" s="62" t="n"/>
      <c r="F89" s="62" t="n"/>
      <c r="G89" s="62" t="n"/>
      <c r="H89" s="62" t="n"/>
      <c r="I89" s="61" t="n"/>
    </row>
    <row r="90" ht="18" customHeight="1">
      <c r="B90" s="13" t="inlineStr">
        <is>
          <t>Đã làm gì trong tuần này? (*)</t>
        </is>
      </c>
      <c r="C90" s="62" t="n"/>
      <c r="D90" s="61" t="n"/>
      <c r="E90" s="14" t="inlineStr">
        <is>
          <t>Thiết kế ERD, Database Schema và phân tích dữ liệu hệ thống.</t>
        </is>
      </c>
      <c r="F90" s="62" t="n"/>
      <c r="G90" s="62" t="n"/>
      <c r="H90" s="62" t="n"/>
      <c r="I90" s="61" t="n"/>
    </row>
    <row r="91" ht="18" customHeight="1">
      <c r="B91" s="13" t="inlineStr">
        <is>
          <t>AI đã hỗ trợ như thế nào?</t>
        </is>
      </c>
      <c r="C91" s="62" t="n"/>
      <c r="D91" s="61" t="n"/>
      <c r="E91" s="14" t="inlineStr">
        <is>
          <t>ChatGPT hỗ trợ đề xuất quan hệ bảng và thuộc tính dữ liệu.</t>
        </is>
      </c>
      <c r="F91" s="62" t="n"/>
      <c r="G91" s="62" t="n"/>
      <c r="H91" s="62" t="n"/>
      <c r="I91" s="61" t="n"/>
    </row>
    <row r="92" ht="33.5" customHeight="1">
      <c r="B92" s="13" t="inlineStr">
        <is>
          <t>AI sai hoặc thiếu ở đâu? (*)</t>
        </is>
      </c>
      <c r="C92" s="62" t="n"/>
      <c r="D92" s="61" t="n"/>
      <c r="E92" s="14" t="inlineStr">
        <is>
          <t>AI đề xuất sai quan hệ Employee - Project.
AI chưa tối ưu khóa ngoại cho Attendance.</t>
        </is>
      </c>
      <c r="F92" s="62" t="n"/>
      <c r="G92" s="62" t="n"/>
      <c r="H92" s="62" t="n"/>
      <c r="I92" s="61" t="n"/>
    </row>
    <row r="93" ht="18" customHeight="1">
      <c r="B93" s="13" t="inlineStr">
        <is>
          <t>Khó khăn gặp phải</t>
        </is>
      </c>
      <c r="C93" s="62" t="n"/>
      <c r="D93" s="61" t="n"/>
      <c r="E93" s="14" t="inlineStr">
        <is>
          <t>Hệ thống có nhiều module liên kết dữ liệu phức tạp.</t>
        </is>
      </c>
      <c r="F93" s="62" t="n"/>
      <c r="G93" s="62" t="n"/>
      <c r="H93" s="62" t="n"/>
      <c r="I93" s="61" t="n"/>
    </row>
    <row r="94" ht="18" customHeight="1">
      <c r="B94" s="13" t="inlineStr">
        <is>
          <t>Nếu làm lại, sẽ cải thiện điều gì?</t>
        </is>
      </c>
      <c r="C94" s="62" t="n"/>
      <c r="D94" s="61" t="n"/>
      <c r="E94" s="14" t="inlineStr">
        <is>
          <t>Kiểm tra ERD với nhóm trước khi hoàn thiện Database Schema.</t>
        </is>
      </c>
      <c r="F94" s="62" t="n"/>
      <c r="G94" s="62" t="n"/>
      <c r="H94" s="62" t="n"/>
      <c r="I94" s="61" t="n"/>
    </row>
    <row r="96" ht="15.75" customHeight="1">
      <c r="B96" s="15" t="inlineStr">
        <is>
          <t>FER202  |  Week 01  |  FPT University — Điền xong nhớ Ctrl+S để lưu!</t>
        </is>
      </c>
      <c r="C96" s="62" t="n"/>
      <c r="D96" s="62" t="n"/>
      <c r="E96" s="62" t="n"/>
      <c r="F96" s="62" t="n"/>
      <c r="G96" s="62" t="n"/>
      <c r="H96" s="62" t="n"/>
      <c r="I96" s="61" t="n"/>
    </row>
  </sheetData>
  <mergeCells count="106">
    <mergeCell ref="B42:D42"/>
    <mergeCell ref="B57:D57"/>
    <mergeCell ref="E55:I55"/>
    <mergeCell ref="E52:I52"/>
    <mergeCell ref="B44:D44"/>
    <mergeCell ref="B53:D53"/>
    <mergeCell ref="E48:I48"/>
    <mergeCell ref="B96:I96"/>
    <mergeCell ref="B84:D84"/>
    <mergeCell ref="B92:D92"/>
    <mergeCell ref="B17:I17"/>
    <mergeCell ref="B80:D80"/>
    <mergeCell ref="B82:I82"/>
    <mergeCell ref="B94:D94"/>
    <mergeCell ref="B62:D62"/>
    <mergeCell ref="B54:D54"/>
    <mergeCell ref="B72:D72"/>
    <mergeCell ref="B68:I68"/>
    <mergeCell ref="B56:D56"/>
    <mergeCell ref="B5:I5"/>
    <mergeCell ref="B70:D70"/>
    <mergeCell ref="B43:D43"/>
    <mergeCell ref="E58:I58"/>
    <mergeCell ref="E50:I50"/>
    <mergeCell ref="B75:I75"/>
    <mergeCell ref="E42:I42"/>
    <mergeCell ref="B73:D73"/>
    <mergeCell ref="B59:I59"/>
    <mergeCell ref="E83:I83"/>
    <mergeCell ref="E92:I92"/>
    <mergeCell ref="E44:I44"/>
    <mergeCell ref="B39:I39"/>
    <mergeCell ref="E94:I94"/>
    <mergeCell ref="B83:D83"/>
    <mergeCell ref="E69:I69"/>
    <mergeCell ref="E84:I84"/>
    <mergeCell ref="E78:I78"/>
    <mergeCell ref="B76:D76"/>
    <mergeCell ref="B45:D45"/>
    <mergeCell ref="E77:I77"/>
    <mergeCell ref="B85:D85"/>
    <mergeCell ref="E46:I46"/>
    <mergeCell ref="E86:I86"/>
    <mergeCell ref="E80:I80"/>
    <mergeCell ref="B47:D47"/>
    <mergeCell ref="E70:I70"/>
    <mergeCell ref="E57:I57"/>
    <mergeCell ref="B46:D46"/>
    <mergeCell ref="E54:I54"/>
    <mergeCell ref="E72:I72"/>
    <mergeCell ref="E41:I41"/>
    <mergeCell ref="E47:I47"/>
    <mergeCell ref="B48:D48"/>
    <mergeCell ref="E56:I56"/>
    <mergeCell ref="E43:I43"/>
    <mergeCell ref="B78:D78"/>
    <mergeCell ref="B87:D87"/>
    <mergeCell ref="B49:D49"/>
    <mergeCell ref="B65:D65"/>
    <mergeCell ref="B61:I61"/>
    <mergeCell ref="B51:D51"/>
    <mergeCell ref="B63:D63"/>
    <mergeCell ref="B50:D50"/>
    <mergeCell ref="E45:I45"/>
    <mergeCell ref="B91:D91"/>
    <mergeCell ref="B40:I40"/>
    <mergeCell ref="B66:D66"/>
    <mergeCell ref="B93:D93"/>
    <mergeCell ref="B89:I89"/>
    <mergeCell ref="B77:D77"/>
    <mergeCell ref="B86:D86"/>
    <mergeCell ref="B26:I26"/>
    <mergeCell ref="E62:I62"/>
    <mergeCell ref="E71:I71"/>
    <mergeCell ref="B3:I3"/>
    <mergeCell ref="B69:D69"/>
    <mergeCell ref="B18:I18"/>
    <mergeCell ref="E64:I64"/>
    <mergeCell ref="E79:I79"/>
    <mergeCell ref="E73:I73"/>
    <mergeCell ref="E51:I51"/>
    <mergeCell ref="E87:I87"/>
    <mergeCell ref="B2:I2"/>
    <mergeCell ref="G19:H19"/>
    <mergeCell ref="E63:I63"/>
    <mergeCell ref="B60:I60"/>
    <mergeCell ref="B55:D55"/>
    <mergeCell ref="B64:D64"/>
    <mergeCell ref="E65:I65"/>
    <mergeCell ref="E90:I90"/>
    <mergeCell ref="B79:D79"/>
    <mergeCell ref="B34:I34"/>
    <mergeCell ref="E49:I49"/>
    <mergeCell ref="B90:D90"/>
    <mergeCell ref="D19:F19"/>
    <mergeCell ref="B30:I30"/>
    <mergeCell ref="E76:I76"/>
    <mergeCell ref="E91:I91"/>
    <mergeCell ref="E85:I85"/>
    <mergeCell ref="B6:I6"/>
    <mergeCell ref="B71:D71"/>
    <mergeCell ref="B20:I20"/>
    <mergeCell ref="E66:I66"/>
    <mergeCell ref="B52:D52"/>
    <mergeCell ref="E53:I53"/>
    <mergeCell ref="E93:I93"/>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I95"/>
  <sheetViews>
    <sheetView showGridLines="0" tabSelected="0" topLeftCell="A72" zoomScaleNormal="100" workbookViewId="0">
      <selection activeCell="E97" sqref="E97"/>
    </sheetView>
  </sheetViews>
  <sheetFormatPr baseColWidth="8" defaultColWidth="8.6328125" defaultRowHeight="14.5"/>
  <cols>
    <col width="3" customWidth="1" min="1" max="1"/>
    <col width="12" customWidth="1" min="2" max="2"/>
    <col width="8.1796875" bestFit="1" customWidth="1" min="3" max="3"/>
    <col width="14" bestFit="1" customWidth="1" min="4" max="4"/>
    <col width="67.90625" bestFit="1" customWidth="1" min="5" max="5"/>
    <col width="24" bestFit="1" customWidth="1" min="6" max="6"/>
    <col width="13.1796875" bestFit="1" customWidth="1" min="7" max="7"/>
    <col width="28.90625" bestFit="1" customWidth="1" min="8" max="8"/>
    <col width="36.1796875" bestFit="1" customWidth="1" min="9" max="9"/>
  </cols>
  <sheetData>
    <row r="1" ht="13.5" customHeight="1"/>
    <row r="2" ht="33.75" customHeight="1">
      <c r="B2" s="25" t="inlineStr">
        <is>
          <t>WEEK 02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inlineStr">
        <is>
          <t>22/06/2026</t>
        </is>
      </c>
      <c r="C8" s="21" t="inlineStr">
        <is>
          <t>A</t>
        </is>
      </c>
      <c r="D8" s="21" t="inlineStr">
        <is>
          <t>ChatGPT</t>
        </is>
      </c>
      <c r="E8" s="21" t="inlineStr">
        <is>
          <t>Sinh cấu trúc routing React Router</t>
        </is>
      </c>
      <c r="F8" s="21" t="inlineStr">
        <is>
          <t>App.jsx</t>
        </is>
      </c>
      <c r="G8" s="21" t="inlineStr">
        <is>
          <t>Medium</t>
        </is>
      </c>
      <c r="H8" s="21" t="inlineStr">
        <is>
          <t>Điều chỉnh route theo module</t>
        </is>
      </c>
      <c r="I8" s="21" t="inlineStr">
        <is>
          <t>Test navigation</t>
        </is>
      </c>
    </row>
    <row r="9" ht="18" customHeight="1">
      <c r="B9" s="21" t="inlineStr">
        <is>
          <t>22/06/2026</t>
        </is>
      </c>
      <c r="C9" s="21" t="inlineStr">
        <is>
          <t>C</t>
        </is>
      </c>
      <c r="D9" s="21" t="inlineStr">
        <is>
          <t>ChatGPT</t>
        </is>
      </c>
      <c r="E9" s="21" t="inlineStr">
        <is>
          <t>Sinh dữ liệu mẫu cho db.json</t>
        </is>
      </c>
      <c r="F9" s="21" t="inlineStr">
        <is>
          <t>db.json</t>
        </is>
      </c>
      <c r="G9" s="21" t="inlineStr">
        <is>
          <t>High</t>
        </is>
      </c>
      <c r="H9" s="21" t="inlineStr">
        <is>
          <t>Bổ sung employee và project mẫu</t>
        </is>
      </c>
      <c r="I9" s="21" t="inlineStr">
        <is>
          <t>Kiểm tra JSON Server</t>
        </is>
      </c>
    </row>
    <row r="10" ht="18" customHeight="1">
      <c r="B10" s="21" t="inlineStr">
        <is>
          <t>22/06/2026</t>
        </is>
      </c>
      <c r="C10" s="21" t="inlineStr">
        <is>
          <t>D</t>
        </is>
      </c>
      <c r="D10" s="21" t="inlineStr">
        <is>
          <t>Google Stitch AI</t>
        </is>
      </c>
      <c r="E10" s="21" t="inlineStr">
        <is>
          <t>Thiết kế Employee List Screen</t>
        </is>
      </c>
      <c r="F10" s="21" t="inlineStr">
        <is>
          <t>EmployeeList.fig</t>
        </is>
      </c>
      <c r="G10" s="21" t="inlineStr">
        <is>
          <t>High</t>
        </is>
      </c>
      <c r="H10" s="21" t="inlineStr">
        <is>
          <t>Chỉnh layout bảng dữ liệu</t>
        </is>
      </c>
      <c r="I10" s="21" t="inlineStr">
        <is>
          <t>Nhóm review</t>
        </is>
      </c>
    </row>
    <row r="11" ht="18" customHeight="1">
      <c r="B11" s="21" t="inlineStr">
        <is>
          <t>22/06/2026</t>
        </is>
      </c>
      <c r="C11" s="21" t="inlineStr">
        <is>
          <t>B</t>
        </is>
      </c>
      <c r="D11" s="21" t="inlineStr">
        <is>
          <t>ChatGPT</t>
        </is>
      </c>
      <c r="E11" s="21" t="inlineStr">
        <is>
          <t>Viết User Story cho Employee Management</t>
        </is>
      </c>
      <c r="F11" s="21" t="inlineStr">
        <is>
          <t>UserStory.docx</t>
        </is>
      </c>
      <c r="G11" s="21" t="inlineStr">
        <is>
          <t>Medium</t>
        </is>
      </c>
      <c r="H11" s="21" t="inlineStr">
        <is>
          <t>Chỉnh sửa theo góp ý GV</t>
        </is>
      </c>
      <c r="I11" s="21" t="inlineStr">
        <is>
          <t>Đối chiếu RDS</t>
        </is>
      </c>
    </row>
    <row r="12" ht="18" customHeight="1">
      <c r="B12" s="21" t="inlineStr">
        <is>
          <t>22/06/2026</t>
        </is>
      </c>
      <c r="C12" s="21" t="inlineStr">
        <is>
          <t>E</t>
        </is>
      </c>
      <c r="D12" s="21" t="inlineStr">
        <is>
          <t>ChatGPT</t>
        </is>
      </c>
      <c r="E12" s="21" t="inlineStr">
        <is>
          <t>Sinh dữ liệu Payroll và Attendance mẫu</t>
        </is>
      </c>
      <c r="F12" s="21" t="inlineStr">
        <is>
          <t>db.json</t>
        </is>
      </c>
      <c r="G12" s="21" t="inlineStr">
        <is>
          <t>High</t>
        </is>
      </c>
      <c r="H12" s="21" t="inlineStr">
        <is>
          <t>Thêm quan hệ khóa ngoại</t>
        </is>
      </c>
      <c r="I12" s="21" t="inlineStr">
        <is>
          <t>Kiểm tra dữ liệu</t>
        </is>
      </c>
    </row>
    <row r="13" ht="18" customHeight="1">
      <c r="B13" s="21" t="inlineStr">
        <is>
          <t>22/06/2026</t>
        </is>
      </c>
      <c r="C13" s="21" t="inlineStr">
        <is>
          <t>A</t>
        </is>
      </c>
      <c r="D13" s="21" t="inlineStr">
        <is>
          <t>ChatGPT</t>
        </is>
      </c>
      <c r="E13" s="21" t="inlineStr">
        <is>
          <t>Hỗ trợ tạo component Sidebar và Header</t>
        </is>
      </c>
      <c r="F13" s="21" t="inlineStr">
        <is>
          <t>Sidebar.jsx</t>
        </is>
      </c>
      <c r="G13" s="21" t="inlineStr">
        <is>
          <t>Medium</t>
        </is>
      </c>
      <c r="H13" s="21" t="inlineStr">
        <is>
          <t>Điều chỉnh CSS</t>
        </is>
      </c>
      <c r="I13" s="21" t="inlineStr">
        <is>
          <t>Test giao diện</t>
        </is>
      </c>
    </row>
    <row r="14" ht="18" customHeight="1">
      <c r="B14" s="21" t="inlineStr">
        <is>
          <t>22/06/2026</t>
        </is>
      </c>
      <c r="C14" s="21" t="inlineStr">
        <is>
          <t>C</t>
        </is>
      </c>
      <c r="D14" s="21" t="inlineStr">
        <is>
          <t>ChatGPT</t>
        </is>
      </c>
      <c r="E14" s="21" t="inlineStr">
        <is>
          <t>Hỗ trợ viết Weekly Report Week 02</t>
        </is>
      </c>
      <c r="F14" s="21" t="inlineStr">
        <is>
          <t>Week02_BaoCaoNhom.docx</t>
        </is>
      </c>
      <c r="G14" s="21" t="inlineStr">
        <is>
          <t>High</t>
        </is>
      </c>
      <c r="H14" s="21" t="inlineStr">
        <is>
          <t>Bổ sung screenshot thực tế</t>
        </is>
      </c>
      <c r="I14" s="21" t="inlineStr">
        <is>
          <t>Nhóm xác nhận</t>
        </is>
      </c>
    </row>
    <row r="15" ht="18" customHeight="1">
      <c r="B15" s="21" t="inlineStr">
        <is>
          <t>22/06/2026</t>
        </is>
      </c>
      <c r="C15" s="21" t="inlineStr">
        <is>
          <t>D</t>
        </is>
      </c>
      <c r="D15" s="21" t="inlineStr">
        <is>
          <t>ChatGPT</t>
        </is>
      </c>
      <c r="E15" s="21" t="inlineStr">
        <is>
          <t>Đề xuất UI Project List và Task Board</t>
        </is>
      </c>
      <c r="F15" s="21" t="inlineStr">
        <is>
          <t>ProjectUI.fig</t>
        </is>
      </c>
      <c r="G15" s="21" t="inlineStr">
        <is>
          <t>Medium</t>
        </is>
      </c>
      <c r="H15" s="21" t="inlineStr">
        <is>
          <t>Chỉnh lại Kanban layout</t>
        </is>
      </c>
      <c r="I15" s="21" t="inlineStr">
        <is>
          <t>So sánh với RDS</t>
        </is>
      </c>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inlineStr">
        <is>
          <t>A</t>
        </is>
      </c>
      <c r="D21" s="21" t="n"/>
      <c r="E21" s="21" t="inlineStr">
        <is>
          <t>Tạo Header Component và Sidebar Component cho hệ thống HRP.</t>
        </is>
      </c>
      <c r="F21" s="21" t="n"/>
      <c r="G21" s="21" t="n"/>
      <c r="H21" s="21" t="inlineStr">
        <is>
          <t>Header.jsx, Sidebar.jsx</t>
        </is>
      </c>
      <c r="I21" s="21" t="inlineStr">
        <is>
          <t>Áp dụng Functional Component.</t>
        </is>
      </c>
    </row>
    <row r="22" ht="18" customHeight="1">
      <c r="B22" s="21" t="n"/>
      <c r="C22" s="21" t="inlineStr">
        <is>
          <t>B</t>
        </is>
      </c>
      <c r="D22" s="21" t="n"/>
      <c r="E22" s="21" t="inlineStr">
        <is>
          <t>Xây dựng EmployeeList và ProjectList sử dụng map().</t>
        </is>
      </c>
      <c r="F22" s="21" t="n"/>
      <c r="G22" s="21" t="n"/>
      <c r="H22" s="21" t="inlineStr">
        <is>
          <t>EmployeeList.jsx, ProjectList.jsx</t>
        </is>
      </c>
      <c r="I22" s="21" t="inlineStr">
        <is>
          <t>Render dữ liệu động từ mảng mẫu.</t>
        </is>
      </c>
    </row>
    <row r="23" ht="18" customHeight="1">
      <c r="B23" s="21" t="n"/>
      <c r="C23" s="21" t="inlineStr">
        <is>
          <t>E</t>
        </is>
      </c>
      <c r="D23" s="21" t="n"/>
      <c r="E23" s="21" t="inlineStr">
        <is>
          <t>Xây dựng Dashboard Component hiển thị thống kê nhân viên, dự án và chấm công.</t>
        </is>
      </c>
      <c r="F23" s="21" t="n"/>
      <c r="G23" s="21" t="n"/>
      <c r="H23" s="21" t="inlineStr">
        <is>
          <t>Dashboard.jsx</t>
        </is>
      </c>
      <c r="I23" s="21" t="inlineStr">
        <is>
          <t>Dữ liệu mẫu phục vụ demo giao diện.</t>
        </is>
      </c>
    </row>
    <row r="24" ht="18" customHeight="1">
      <c r="B24" s="21" t="n"/>
      <c r="C24" s="21" t="inlineStr">
        <is>
          <t>C</t>
        </is>
      </c>
      <c r="D24" s="21" t="n"/>
      <c r="E24" s="21" t="inlineStr">
        <is>
          <t>Xây dựng EmployeeCard và ProjectCard.</t>
        </is>
      </c>
      <c r="F24" s="21" t="n"/>
      <c r="G24" s="21" t="n"/>
      <c r="H24" s="21" t="inlineStr">
        <is>
          <t>EmployeeCard.jsx, ProjectCard.jsx</t>
        </is>
      </c>
      <c r="I24" s="21" t="inlineStr">
        <is>
          <t>Component tái sử dụng cho nhiều màn hình.</t>
        </is>
      </c>
    </row>
    <row r="25" ht="15.75" customHeight="1">
      <c r="B25" s="22" t="inlineStr">
        <is>
          <t>Changed — Cải tiến</t>
        </is>
      </c>
      <c r="C25" s="62" t="n"/>
      <c r="D25" s="62" t="n"/>
      <c r="E25" s="62" t="n"/>
      <c r="F25" s="62" t="n"/>
      <c r="G25" s="62" t="n"/>
      <c r="H25" s="62" t="n"/>
      <c r="I25" s="61" t="n"/>
    </row>
    <row r="26" ht="18" customHeight="1">
      <c r="B26" s="21" t="n"/>
      <c r="C26" s="21" t="inlineStr">
        <is>
          <t>D</t>
        </is>
      </c>
      <c r="D26" s="21" t="n"/>
      <c r="E26" s="21" t="inlineStr">
        <is>
          <t>Render dữ liệu động từ mảng mẫu.</t>
        </is>
      </c>
      <c r="F26" s="21" t="n"/>
      <c r="G26" s="21" t="n"/>
      <c r="H26" s="21" t="inlineStr">
        <is>
          <t>App.jsx</t>
        </is>
      </c>
      <c r="I26" s="21" t="inlineStr">
        <is>
          <t>Chuẩn hóa luồng hiển thị giao diện.</t>
        </is>
      </c>
    </row>
    <row r="27" ht="18" customHeight="1">
      <c r="B27" s="21" t="n"/>
      <c r="C27" s="21" t="inlineStr">
        <is>
          <t>A</t>
        </is>
      </c>
      <c r="D27" s="21" t="n"/>
      <c r="E27" s="21" t="inlineStr">
        <is>
          <t>Cải tiến bố cục Dashboard theo mockup tuần 01.</t>
        </is>
      </c>
      <c r="F27" s="21" t="n"/>
      <c r="G27" s="21" t="n"/>
      <c r="H27" s="21" t="inlineStr">
        <is>
          <t>Dashboard.jsx</t>
        </is>
      </c>
      <c r="I27" s="21" t="inlineStr">
        <is>
          <t>Tăng tính trực quan.</t>
        </is>
      </c>
    </row>
    <row r="28" ht="18" customHeight="1">
      <c r="B28" s="21" t="n"/>
      <c r="C28" s="21" t="n"/>
      <c r="D28" s="21" t="n"/>
      <c r="E28" s="21" t="n"/>
      <c r="F28" s="21" t="n"/>
      <c r="G28" s="21" t="n"/>
      <c r="H28" s="21" t="n"/>
      <c r="I28" s="21" t="n"/>
    </row>
    <row r="29" ht="15.75" customHeight="1">
      <c r="B29" s="22" t="inlineStr">
        <is>
          <t>Fixed — Sửa lỗi</t>
        </is>
      </c>
      <c r="C29" s="62" t="n"/>
      <c r="D29" s="62" t="n"/>
      <c r="E29" s="62" t="n"/>
      <c r="F29" s="62" t="n"/>
      <c r="G29" s="62" t="n"/>
      <c r="H29" s="62" t="n"/>
      <c r="I29" s="61" t="n"/>
    </row>
    <row r="30" ht="18" customHeight="1">
      <c r="B30" s="21" t="n"/>
      <c r="C30" s="21" t="inlineStr">
        <is>
          <t>E</t>
        </is>
      </c>
      <c r="D30" s="21" t="n"/>
      <c r="E30" s="21" t="inlineStr">
        <is>
          <t>Sửa lỗi thiếu thuộc tính key trong map().</t>
        </is>
      </c>
      <c r="F30" s="21" t="n"/>
      <c r="G30" s="21" t="n"/>
      <c r="H30" s="21" t="inlineStr">
        <is>
          <t>EmployeeList.jsx, ProjectList.jsx</t>
        </is>
      </c>
      <c r="I30" s="21" t="inlineStr">
        <is>
          <t>Loại bỏ React Warning.</t>
        </is>
      </c>
    </row>
    <row r="31" ht="18" customHeight="1">
      <c r="B31" s="21" t="n"/>
      <c r="C31" s="21" t="inlineStr">
        <is>
          <t>C</t>
        </is>
      </c>
      <c r="D31" s="21" t="n"/>
      <c r="E31" s="21" t="inlineStr">
        <is>
          <t>Sửa lỗi export component.</t>
        </is>
      </c>
      <c r="F31" s="21" t="n"/>
      <c r="G31" s="21" t="n"/>
      <c r="H31" s="21" t="inlineStr">
        <is>
          <t>EmployeeCard.jsx, ProjectCard.jsx</t>
        </is>
      </c>
      <c r="I31" s="21" t="inlineStr">
        <is>
          <t>Component render bình thường.</t>
        </is>
      </c>
    </row>
    <row r="32" ht="18" customHeight="1">
      <c r="B32" s="21" t="n"/>
      <c r="C32" s="21" t="inlineStr">
        <is>
          <t>D</t>
        </is>
      </c>
      <c r="D32" s="21" t="n"/>
      <c r="E32" s="21" t="inlineStr">
        <is>
          <t>Sửa lỗi import sai đường dẫn.</t>
        </is>
      </c>
      <c r="F32" s="21" t="n"/>
      <c r="G32" s="21" t="n"/>
      <c r="H32" s="21" t="inlineStr">
        <is>
          <t>App.jsx</t>
        </is>
      </c>
      <c r="I32" s="21" t="inlineStr">
        <is>
          <t>Build thành công.</t>
        </is>
      </c>
    </row>
    <row r="33" ht="15.75" customHeight="1">
      <c r="B33" s="22" t="inlineStr">
        <is>
          <t>Removed — Xóa bỏ</t>
        </is>
      </c>
      <c r="C33" s="62" t="n"/>
      <c r="D33" s="62" t="n"/>
      <c r="E33" s="62" t="n"/>
      <c r="F33" s="62" t="n"/>
      <c r="G33" s="62" t="n"/>
      <c r="H33" s="62" t="n"/>
      <c r="I33" s="61" t="n"/>
    </row>
    <row r="34" ht="18" customHeight="1">
      <c r="B34" s="21" t="n"/>
      <c r="C34" s="21" t="inlineStr">
        <is>
          <t>Cả Nhóm</t>
        </is>
      </c>
      <c r="D34" s="21" t="n"/>
      <c r="E34" s="21" t="inlineStr">
        <is>
          <t>Loại bỏ các component thử nghiệm không còn sử dụng.</t>
        </is>
      </c>
      <c r="F34" s="21" t="n"/>
      <c r="G34" s="21" t="n"/>
      <c r="H34" s="21" t="inlineStr">
        <is>
          <t>TempComponent.jsx</t>
        </is>
      </c>
      <c r="I34" s="21" t="inlineStr">
        <is>
          <t>Làm sạch source code.</t>
        </is>
      </c>
    </row>
    <row r="35" ht="18" customHeight="1">
      <c r="B35" s="21" t="n"/>
      <c r="C35" s="21" t="n"/>
      <c r="D35" s="21" t="n"/>
      <c r="E35" s="21" t="n"/>
      <c r="F35" s="21" t="n"/>
      <c r="G35" s="21" t="n"/>
      <c r="H35" s="21" t="n"/>
      <c r="I35" s="21" t="n"/>
    </row>
    <row r="36" ht="18" customHeight="1">
      <c r="B36" s="21" t="n"/>
      <c r="C36" s="21" t="n"/>
      <c r="D36" s="21" t="n"/>
      <c r="E36" s="21" t="n"/>
      <c r="F36" s="21" t="n"/>
      <c r="G36" s="21" t="n"/>
      <c r="H36" s="21" t="n"/>
      <c r="I36" s="21" t="n"/>
    </row>
    <row r="38" ht="21.75" customHeight="1">
      <c r="B38" s="23" t="inlineStr">
        <is>
          <t>💡  BẢNG 3: Nhật ký Prompt AI  (PROMPTS)</t>
        </is>
      </c>
      <c r="C38" s="62" t="n"/>
      <c r="D38" s="62" t="n"/>
      <c r="E38" s="62" t="n"/>
      <c r="F38" s="62" t="n"/>
      <c r="G38" s="62" t="n"/>
      <c r="H38" s="62" t="n"/>
      <c r="I38" s="61" t="n"/>
    </row>
    <row r="39" ht="13.5" customHeight="1">
      <c r="B39" s="19" t="inlineStr">
        <is>
          <t>Mỗi prompt quan trọng ghi 1 block gồm 4 dòng. Ghi rõ prompt đã dùng, kết quả, cách nhóm sử dụng, và kiểm chứng.</t>
        </is>
      </c>
    </row>
    <row r="40" ht="19.5" customHeight="1">
      <c r="B40" s="24" t="inlineStr">
        <is>
          <t>Prompt #</t>
        </is>
      </c>
      <c r="C40" s="24" t="inlineStr">
        <is>
          <t>TV</t>
        </is>
      </c>
      <c r="D40" s="24" t="inlineStr">
        <is>
          <t>Công cụ AI</t>
        </is>
      </c>
      <c r="E40" s="24" t="inlineStr">
        <is>
          <t>Prompt đã dùng (nguyên văn) (*)</t>
        </is>
      </c>
      <c r="F40" s="62" t="n"/>
      <c r="G40" s="62" t="n"/>
      <c r="H40" s="62" t="n"/>
      <c r="I40" s="61" t="n"/>
    </row>
    <row r="41" ht="21.75" customHeight="1">
      <c r="B41" s="20" t="inlineStr">
        <is>
          <t>Prompt #1</t>
        </is>
      </c>
      <c r="C41" s="62" t="n"/>
      <c r="D41" s="61" t="n"/>
      <c r="E41" s="21" t="inlineStr">
        <is>
          <t>"Generate a ReactJS Functional Component structure for an HR Management Dashboard including Header, Sidebar and Main Content."</t>
        </is>
      </c>
      <c r="F41" s="62" t="n"/>
      <c r="G41" s="62" t="n"/>
      <c r="H41" s="62" t="n"/>
      <c r="I41" s="61" t="n"/>
    </row>
    <row r="42" ht="21.75" customHeight="1">
      <c r="B42" s="14" t="inlineStr">
        <is>
          <t>Kết quả AI trả về và vấn đề gặp phải:</t>
        </is>
      </c>
      <c r="C42" s="62" t="n"/>
      <c r="D42" s="61" t="n"/>
      <c r="E42" s="21" t="inlineStr">
        <is>
          <t>AI tạo cấu trúc component hợp lý nhưng chưa phù hợp hoàn toàn với mockup nhóm thiết kế.</t>
        </is>
      </c>
      <c r="F42" s="62" t="n"/>
      <c r="G42" s="62" t="n"/>
      <c r="H42" s="62" t="n"/>
      <c r="I42" s="61" t="n"/>
    </row>
    <row r="43" ht="21.75" customHeight="1">
      <c r="B43" s="14" t="inlineStr">
        <is>
          <t>Nhóm đã chỉnh sửa / sử dụng như thế nào:</t>
        </is>
      </c>
      <c r="C43" s="62" t="n"/>
      <c r="D43" s="61" t="n"/>
      <c r="E43" s="21" t="inlineStr">
        <is>
          <t>Điều chỉnh lại layout và tên component theo kiến trúc dự án.</t>
        </is>
      </c>
      <c r="F43" s="62" t="n"/>
      <c r="G43" s="62" t="n"/>
      <c r="H43" s="62" t="n"/>
      <c r="I43" s="61" t="n"/>
    </row>
    <row r="44" ht="21.75" customHeight="1">
      <c r="B44" s="14" t="inlineStr">
        <is>
          <t>Kiểm chứng (test pass/fail, kết quả đúng không):</t>
        </is>
      </c>
      <c r="C44" s="62" t="n"/>
      <c r="D44" s="61" t="n"/>
      <c r="E44" s="21" t="inlineStr">
        <is>
          <t>PASS. Giao diện hiển thị đúng và không phát sinh lỗi.</t>
        </is>
      </c>
      <c r="F44" s="62" t="n"/>
      <c r="G44" s="62" t="n"/>
      <c r="H44" s="62" t="n"/>
      <c r="I44" s="61" t="n"/>
    </row>
    <row r="45" ht="21.75" customHeight="1">
      <c r="B45" s="20" t="inlineStr">
        <is>
          <t>Prompt #2</t>
        </is>
      </c>
      <c r="C45" s="62" t="n"/>
      <c r="D45" s="61" t="n"/>
      <c r="E45" s="21" t="inlineStr">
        <is>
          <t>"Create reusable EmployeeCard and ProjectCard React components using JSX."</t>
        </is>
      </c>
      <c r="F45" s="62" t="n"/>
      <c r="G45" s="62" t="n"/>
      <c r="H45" s="62" t="n"/>
      <c r="I45" s="61" t="n"/>
    </row>
    <row r="46" ht="21.75" customHeight="1">
      <c r="B46" s="14" t="inlineStr">
        <is>
          <t>Kết quả AI trả về và vấn đề gặp phải:</t>
        </is>
      </c>
      <c r="C46" s="62" t="n"/>
      <c r="D46" s="61" t="n"/>
      <c r="E46" s="21" t="inlineStr">
        <is>
          <t>AI sinh component đúng chức năng nhưng thiếu PropTypes và dữ liệu thực tế.</t>
        </is>
      </c>
      <c r="F46" s="62" t="n"/>
      <c r="G46" s="62" t="n"/>
      <c r="H46" s="62" t="n"/>
      <c r="I46" s="61" t="n"/>
    </row>
    <row r="47" ht="21.75" customHeight="1">
      <c r="B47" s="14" t="inlineStr">
        <is>
          <t>Nhóm đã chỉnh sửa / sử dụng như thế nào:</t>
        </is>
      </c>
      <c r="C47" s="62" t="n"/>
      <c r="D47" s="61" t="n"/>
      <c r="E47" s="21" t="inlineStr">
        <is>
          <t>Bổ sung props và chỉnh sửa giao diện hiển thị.</t>
        </is>
      </c>
      <c r="F47" s="62" t="n"/>
      <c r="G47" s="62" t="n"/>
      <c r="H47" s="62" t="n"/>
      <c r="I47" s="61" t="n"/>
    </row>
    <row r="48" ht="21.75" customHeight="1">
      <c r="B48" s="14" t="inlineStr">
        <is>
          <t>Kiểm chứng (test pass/fail, kết quả đúng không):</t>
        </is>
      </c>
      <c r="C48" s="62" t="n"/>
      <c r="D48" s="61" t="n"/>
      <c r="E48" s="21" t="inlineStr">
        <is>
          <t>PASS. Component render chính xác.</t>
        </is>
      </c>
      <c r="F48" s="62" t="n"/>
      <c r="G48" s="62" t="n"/>
      <c r="H48" s="62" t="n"/>
      <c r="I48" s="61" t="n"/>
    </row>
    <row r="49" ht="21.75" customHeight="1">
      <c r="B49" s="20" t="inlineStr">
        <is>
          <t>Prompt #3</t>
        </is>
      </c>
      <c r="C49" s="62" t="n"/>
      <c r="D49" s="61" t="n"/>
      <c r="E49" s="21" t="inlineStr">
        <is>
          <t>"Show how to render a list of employees in React using map() and conditional rendering."</t>
        </is>
      </c>
      <c r="F49" s="62" t="n"/>
      <c r="G49" s="62" t="n"/>
      <c r="H49" s="62" t="n"/>
      <c r="I49" s="61" t="n"/>
    </row>
    <row r="50" ht="21.75" customHeight="1">
      <c r="B50" s="14" t="inlineStr">
        <is>
          <t>Kết quả AI trả về và vấn đề gặp phải:</t>
        </is>
      </c>
      <c r="C50" s="62" t="n"/>
      <c r="D50" s="61" t="n"/>
      <c r="E50" s="21" t="inlineStr">
        <is>
          <t>AI hướng dẫn đúng nhưng thiếu thuộc tính key.</t>
        </is>
      </c>
      <c r="F50" s="62" t="n"/>
      <c r="G50" s="62" t="n"/>
      <c r="H50" s="62" t="n"/>
      <c r="I50" s="61" t="n"/>
    </row>
    <row r="51" ht="21.75" customHeight="1">
      <c r="B51" s="14" t="inlineStr">
        <is>
          <t>Nhóm đã chỉnh sửa / sử dụng như thế nào:</t>
        </is>
      </c>
      <c r="C51" s="62" t="n"/>
      <c r="D51" s="61" t="n"/>
      <c r="E51" s="21" t="inlineStr">
        <is>
          <t>Bổ sung key={employee.id} cho từng item.</t>
        </is>
      </c>
      <c r="F51" s="62" t="n"/>
      <c r="G51" s="62" t="n"/>
      <c r="H51" s="62" t="n"/>
      <c r="I51" s="61" t="n"/>
    </row>
    <row r="52" ht="21.75" customHeight="1">
      <c r="B52" s="14" t="inlineStr">
        <is>
          <t>Kiểm chứng (test pass/fail, kết quả đúng không):</t>
        </is>
      </c>
      <c r="C52" s="62" t="n"/>
      <c r="D52" s="61" t="n"/>
      <c r="E52" s="21" t="inlineStr">
        <is>
          <t>PASS. Không còn warning trong console.</t>
        </is>
      </c>
      <c r="F52" s="62" t="n"/>
      <c r="G52" s="62" t="n"/>
      <c r="H52" s="62" t="n"/>
      <c r="I52" s="61" t="n"/>
    </row>
    <row r="53" ht="21.75" customHeight="1">
      <c r="B53" s="20" t="inlineStr">
        <is>
          <t>Prompt #4</t>
        </is>
      </c>
      <c r="C53" s="62" t="n"/>
      <c r="D53" s="61" t="n"/>
      <c r="E53" s="21" t="inlineStr">
        <is>
          <t>"Help integrate multiple React functional components into App.jsx."</t>
        </is>
      </c>
      <c r="F53" s="62" t="n"/>
      <c r="G53" s="62" t="n"/>
      <c r="H53" s="62" t="n"/>
      <c r="I53" s="61" t="n"/>
    </row>
    <row r="54" ht="21.75" customHeight="1">
      <c r="B54" s="14" t="inlineStr">
        <is>
          <t>Kết quả AI trả về và vấn đề gặp phải:</t>
        </is>
      </c>
      <c r="C54" s="62" t="n"/>
      <c r="D54" s="61" t="n"/>
      <c r="E54" s="21" t="inlineStr">
        <is>
          <t>AI đề xuất cách import và render component nhưng có một số đường dẫn chưa chính xác.</t>
        </is>
      </c>
      <c r="F54" s="62" t="n"/>
      <c r="G54" s="62" t="n"/>
      <c r="H54" s="62" t="n"/>
      <c r="I54" s="61" t="n"/>
    </row>
    <row r="55" ht="21.75" customHeight="1">
      <c r="B55" s="14" t="inlineStr">
        <is>
          <t>Nhóm đã chỉnh sửa / sử dụng như thế nào:</t>
        </is>
      </c>
      <c r="C55" s="62" t="n"/>
      <c r="D55" s="61" t="n"/>
      <c r="E55" s="21" t="inlineStr">
        <is>
          <t>Điều chỉnh lại cấu trúc thư mục và import path.</t>
        </is>
      </c>
      <c r="F55" s="62" t="n"/>
      <c r="G55" s="62" t="n"/>
      <c r="H55" s="62" t="n"/>
      <c r="I55" s="61" t="n"/>
    </row>
    <row r="56" ht="21.75" customHeight="1">
      <c r="B56" s="14" t="inlineStr">
        <is>
          <t>Kiểm chứng (test pass/fail, kết quả đúng không):</t>
        </is>
      </c>
      <c r="C56" s="62" t="n"/>
      <c r="D56" s="61" t="n"/>
      <c r="E56" s="21" t="inlineStr">
        <is>
          <t>PASS. Project chạy thành công trên localhost.</t>
        </is>
      </c>
      <c r="F56" s="62" t="n"/>
      <c r="G56" s="62" t="n"/>
      <c r="H56" s="62" t="n"/>
      <c r="I56" s="61" t="n"/>
    </row>
    <row r="57">
      <c r="E57" s="21" t="n"/>
      <c r="F57" s="62" t="n"/>
      <c r="G57" s="62" t="n"/>
      <c r="H57" s="62" t="n"/>
      <c r="I57" s="61" t="n"/>
    </row>
    <row r="58" ht="21.75" customHeight="1">
      <c r="B58" s="18" t="inlineStr">
        <is>
          <t>🪞  BẢNG 4: Suy ngẫm cuối tuần  (REFLECTION)</t>
        </is>
      </c>
      <c r="C58" s="62" t="n"/>
      <c r="D58" s="62" t="n"/>
      <c r="E58" s="62" t="n"/>
      <c r="F58" s="62" t="n"/>
      <c r="G58" s="62" t="n"/>
      <c r="H58" s="62" t="n"/>
      <c r="I58" s="61" t="n"/>
    </row>
    <row r="59" ht="13.5" customHeight="1">
      <c r="B59" s="19" t="inlineStr">
        <is>
          <t>Mỗi thành viên điền 1 block riêng. Mục 'AI sai/thiếu' bắt buộc ≥ 2 ví dụ cụ thể. Viết thành câu đầy đủ.</t>
        </is>
      </c>
    </row>
    <row r="60" ht="18" customHeight="1">
      <c r="B60" s="16" t="inlineStr">
        <is>
          <t>Thành viên A — Trưởng nhóm</t>
        </is>
      </c>
      <c r="C60" s="62" t="n"/>
      <c r="D60" s="62" t="n"/>
      <c r="E60" s="62" t="n"/>
      <c r="F60" s="62" t="n"/>
      <c r="G60" s="62" t="n"/>
      <c r="H60" s="62" t="n"/>
      <c r="I60" s="61" t="n"/>
    </row>
    <row r="61" ht="18" customHeight="1">
      <c r="B61" s="13" t="inlineStr">
        <is>
          <t>Đã làm gì trong tuần này? (*)</t>
        </is>
      </c>
      <c r="C61" s="62" t="n"/>
      <c r="D61" s="61" t="n"/>
      <c r="E61" s="17" t="inlineStr">
        <is>
          <t>Xây dựng Header, Sidebar, Layout Component và tổ chức cấu trúc giao diện tổng thể cho hệ thống HRP.</t>
        </is>
      </c>
    </row>
    <row r="62" ht="18" customHeight="1">
      <c r="B62" s="13" t="inlineStr">
        <is>
          <t>AI đã hỗ trợ như thế nào?</t>
        </is>
      </c>
      <c r="C62" s="62" t="n"/>
      <c r="D62" s="61" t="n"/>
      <c r="E62" s="17" t="inlineStr">
        <is>
          <t>ChatGPT hỗ trợ đề xuất cấu trúc component, cách chia layout và tối ưu JSX.</t>
        </is>
      </c>
    </row>
    <row r="63" ht="34" customHeight="1">
      <c r="B63" s="13" t="inlineStr">
        <is>
          <t>AI sai hoặc thiếu ở đâu? (*)</t>
        </is>
      </c>
      <c r="C63" s="62" t="n"/>
      <c r="D63" s="61" t="n"/>
      <c r="E63" s="17" t="inlineStr">
        <is>
          <t>AI đề xuất một số component chưa phù hợp với mockup nhóm.
AI chưa tách rõ phần layout và business component.</t>
        </is>
      </c>
    </row>
    <row r="64" ht="18" customHeight="1">
      <c r="B64" s="13" t="inlineStr">
        <is>
          <t>Khó khăn gặp phải</t>
        </is>
      </c>
      <c r="C64" s="62" t="n"/>
      <c r="D64" s="61" t="n"/>
      <c r="E64" s="17" t="inlineStr">
        <is>
          <t>Lần đầu áp dụng Functional Component vào dự án lớn.</t>
        </is>
      </c>
    </row>
    <row r="65" ht="18" customHeight="1">
      <c r="B65" s="13" t="inlineStr">
        <is>
          <t>Nếu làm lại, sẽ cải thiện điều gì?</t>
        </is>
      </c>
      <c r="C65" s="62" t="n"/>
      <c r="D65" s="61" t="n"/>
      <c r="E65" s="17" t="inlineStr">
        <is>
          <t>Thiết kế component hierarchy trước khi code.</t>
        </is>
      </c>
    </row>
    <row r="67" ht="18" customHeight="1">
      <c r="B67" s="16" t="inlineStr">
        <is>
          <t>Thành viên B — Thành viên</t>
        </is>
      </c>
      <c r="C67" s="62" t="n"/>
      <c r="D67" s="62" t="n"/>
      <c r="E67" s="62" t="n"/>
      <c r="F67" s="62" t="n"/>
      <c r="G67" s="62" t="n"/>
      <c r="H67" s="62" t="n"/>
      <c r="I67" s="61" t="n"/>
    </row>
    <row r="68" ht="18" customHeight="1">
      <c r="B68" s="13" t="inlineStr">
        <is>
          <t>Đã làm gì trong tuần này? (*)</t>
        </is>
      </c>
      <c r="C68" s="62" t="n"/>
      <c r="D68" s="61" t="n"/>
      <c r="E68" s="17" t="inlineStr">
        <is>
          <t>Xây dựng Dashboard Component và Navigation Menu.</t>
        </is>
      </c>
    </row>
    <row r="69" ht="18" customHeight="1">
      <c r="B69" s="13" t="inlineStr">
        <is>
          <t>AI đã hỗ trợ như thế nào?</t>
        </is>
      </c>
      <c r="C69" s="62" t="n"/>
      <c r="D69" s="61" t="n"/>
      <c r="E69" s="17" t="inlineStr">
        <is>
          <t>ChatGPT hỗ trợ thiết kế giao diện Dashboard và bố trí thông tin.</t>
        </is>
      </c>
    </row>
    <row r="70" ht="26.5" customHeight="1">
      <c r="B70" s="13" t="inlineStr">
        <is>
          <t>AI sai hoặc thiếu ở đâu? (*)</t>
        </is>
      </c>
      <c r="C70" s="62" t="n"/>
      <c r="D70" s="61" t="n"/>
      <c r="E70" s="17" t="inlineStr">
        <is>
          <t>AI đưa ra quá nhiều widget không cần thiết.
AI chưa bám sát dữ liệu HRP trong RDS.</t>
        </is>
      </c>
    </row>
    <row r="71" ht="18" customHeight="1">
      <c r="B71" s="13" t="inlineStr">
        <is>
          <t>Khó khăn gặp phải</t>
        </is>
      </c>
      <c r="C71" s="62" t="n"/>
      <c r="D71" s="61" t="n"/>
      <c r="E71" s="17" t="inlineStr">
        <is>
          <t>Cân bằng giữa tính thẩm mỹ và yêu cầu môn học.</t>
        </is>
      </c>
    </row>
    <row r="72" ht="18" customHeight="1">
      <c r="B72" s="13" t="inlineStr">
        <is>
          <t>Nếu làm lại, sẽ cải thiện điều gì?</t>
        </is>
      </c>
      <c r="C72" s="62" t="n"/>
      <c r="D72" s="61" t="n"/>
      <c r="E72" s="17" t="inlineStr">
        <is>
          <t>Tham khảo mockup kỹ hơn trước khi thiết kế.</t>
        </is>
      </c>
    </row>
    <row r="74" ht="18" customHeight="1">
      <c r="B74" s="16" t="inlineStr">
        <is>
          <t>Thành viên C — Thành viên</t>
        </is>
      </c>
      <c r="C74" s="62" t="n"/>
      <c r="D74" s="62" t="n"/>
      <c r="E74" s="62" t="n"/>
      <c r="F74" s="62" t="n"/>
      <c r="G74" s="62" t="n"/>
      <c r="H74" s="62" t="n"/>
      <c r="I74" s="61" t="n"/>
    </row>
    <row r="75" ht="18" customHeight="1">
      <c r="B75" s="13" t="inlineStr">
        <is>
          <t>Đã làm gì trong tuần này? (*)</t>
        </is>
      </c>
      <c r="C75" s="62" t="n"/>
      <c r="D75" s="61" t="n"/>
      <c r="E75" s="14" t="inlineStr">
        <is>
          <t>Xây dựng EmployeeCard, ProjectCard, hỗ trợ chuẩn hóa UI Components và kiểm tra giao diện.</t>
        </is>
      </c>
      <c r="F75" s="62" t="n"/>
      <c r="G75" s="62" t="n"/>
      <c r="H75" s="62" t="n"/>
      <c r="I75" s="61" t="n"/>
    </row>
    <row r="76" ht="18" customHeight="1">
      <c r="B76" s="13" t="inlineStr">
        <is>
          <t>AI đã hỗ trợ như thế nào?</t>
        </is>
      </c>
      <c r="C76" s="62" t="n"/>
      <c r="D76" s="61" t="n"/>
      <c r="E76" s="14" t="inlineStr">
        <is>
          <t>ChatGPT hỗ trợ sinh JSX, đề xuất cấu trúc component và cách tái sử dụng code.</t>
        </is>
      </c>
      <c r="F76" s="62" t="n"/>
      <c r="G76" s="62" t="n"/>
      <c r="H76" s="62" t="n"/>
      <c r="I76" s="61" t="n"/>
    </row>
    <row r="77" ht="24" customHeight="1">
      <c r="B77" s="13" t="inlineStr">
        <is>
          <t>AI sai hoặc thiếu ở đâu? (*)</t>
        </is>
      </c>
      <c r="C77" s="62" t="n"/>
      <c r="D77" s="61" t="n"/>
      <c r="E77" s="14" t="inlineStr">
        <is>
          <t>AI chưa tối ưu props cho EmployeeCard.
AI thiếu xử lý trường hợp dữ liệu rỗng khi hiển thị ProjectCard.</t>
        </is>
      </c>
      <c r="F77" s="62" t="n"/>
      <c r="G77" s="62" t="n"/>
      <c r="H77" s="62" t="n"/>
      <c r="I77" s="61" t="n"/>
    </row>
    <row r="78" ht="18" customHeight="1">
      <c r="B78" s="13" t="inlineStr">
        <is>
          <t>Khó khăn gặp phải</t>
        </is>
      </c>
      <c r="C78" s="62" t="n"/>
      <c r="D78" s="61" t="n"/>
      <c r="E78" s="14" t="inlineStr">
        <is>
          <t>Đảm bảo component có thể tái sử dụng cho nhiều màn hình khác nhau.</t>
        </is>
      </c>
      <c r="F78" s="62" t="n"/>
      <c r="G78" s="62" t="n"/>
      <c r="H78" s="62" t="n"/>
      <c r="I78" s="61" t="n"/>
    </row>
    <row r="79" ht="18" customHeight="1">
      <c r="B79" s="13" t="inlineStr">
        <is>
          <t>Nếu làm lại, sẽ cải thiện điều gì?</t>
        </is>
      </c>
      <c r="C79" s="62" t="n"/>
      <c r="D79" s="61" t="n"/>
      <c r="E79" s="14" t="inlineStr">
        <is>
          <t>Thiết kế props và dữ liệu mẫu trước khi viết component.</t>
        </is>
      </c>
      <c r="F79" s="62" t="n"/>
      <c r="G79" s="62" t="n"/>
      <c r="H79" s="62" t="n"/>
      <c r="I79" s="61" t="n"/>
    </row>
    <row r="81" ht="18" customHeight="1">
      <c r="B81" s="16" t="inlineStr">
        <is>
          <t>Thành viên D — Thành viên</t>
        </is>
      </c>
      <c r="C81" s="62" t="n"/>
      <c r="D81" s="62" t="n"/>
      <c r="E81" s="62" t="n"/>
      <c r="F81" s="62" t="n"/>
      <c r="G81" s="62" t="n"/>
      <c r="H81" s="62" t="n"/>
      <c r="I81" s="61" t="n"/>
    </row>
    <row r="82" ht="18" customHeight="1">
      <c r="B82" s="13" t="inlineStr">
        <is>
          <t>Đã làm gì trong tuần này? (*)</t>
        </is>
      </c>
      <c r="C82" s="62" t="n"/>
      <c r="D82" s="61" t="n"/>
      <c r="E82" s="14" t="inlineStr">
        <is>
          <t>Xây dựng EmployeeList và ProjectList bằng map().</t>
        </is>
      </c>
      <c r="F82" s="62" t="n"/>
      <c r="G82" s="62" t="n"/>
      <c r="H82" s="62" t="n"/>
      <c r="I82" s="61" t="n"/>
    </row>
    <row r="83" ht="18" customHeight="1">
      <c r="B83" s="13" t="inlineStr">
        <is>
          <t>AI đã hỗ trợ như thế nào?</t>
        </is>
      </c>
      <c r="C83" s="62" t="n"/>
      <c r="D83" s="61" t="n"/>
      <c r="E83" s="14" t="inlineStr">
        <is>
          <t>ChatGPT hỗ trợ ví dụ về list rendering và conditional rendering.</t>
        </is>
      </c>
      <c r="F83" s="62" t="n"/>
      <c r="G83" s="62" t="n"/>
      <c r="H83" s="62" t="n"/>
      <c r="I83" s="61" t="n"/>
    </row>
    <row r="84" ht="29" customHeight="1">
      <c r="B84" s="13" t="inlineStr">
        <is>
          <t>AI sai hoặc thiếu ở đâu? (*)</t>
        </is>
      </c>
      <c r="C84" s="62" t="n"/>
      <c r="D84" s="61" t="n"/>
      <c r="E84" s="14" t="inlineStr">
        <is>
          <t>AI quên thuộc tính key khi render danh sách.
AI chưa xử lý trường hợp danh sách rỗng.</t>
        </is>
      </c>
      <c r="F84" s="62" t="n"/>
      <c r="G84" s="62" t="n"/>
      <c r="H84" s="62" t="n"/>
      <c r="I84" s="61" t="n"/>
    </row>
    <row r="85" ht="18" customHeight="1">
      <c r="B85" s="13" t="inlineStr">
        <is>
          <t>Khó khăn gặp phải</t>
        </is>
      </c>
      <c r="C85" s="62" t="n"/>
      <c r="D85" s="61" t="n"/>
      <c r="E85" s="14" t="inlineStr">
        <is>
          <t>Hiểu cách React render danh sách dữ liệu.</t>
        </is>
      </c>
      <c r="F85" s="62" t="n"/>
      <c r="G85" s="62" t="n"/>
      <c r="H85" s="62" t="n"/>
      <c r="I85" s="61" t="n"/>
    </row>
    <row r="86" ht="18" customHeight="1">
      <c r="B86" s="13" t="inlineStr">
        <is>
          <t>Nếu làm lại, sẽ cải thiện điều gì?</t>
        </is>
      </c>
      <c r="C86" s="62" t="n"/>
      <c r="D86" s="61" t="n"/>
      <c r="E86" s="14" t="inlineStr">
        <is>
          <t>Kiểm tra warning console sớm hơn.</t>
        </is>
      </c>
      <c r="F86" s="62" t="n"/>
      <c r="G86" s="62" t="n"/>
      <c r="H86" s="62" t="n"/>
      <c r="I86" s="61" t="n"/>
    </row>
    <row r="88" ht="18" customHeight="1">
      <c r="B88" s="16" t="inlineStr">
        <is>
          <t>Thành viên E — Thành viên</t>
        </is>
      </c>
      <c r="C88" s="62" t="n"/>
      <c r="D88" s="62" t="n"/>
      <c r="E88" s="62" t="n"/>
      <c r="F88" s="62" t="n"/>
      <c r="G88" s="62" t="n"/>
      <c r="H88" s="62" t="n"/>
      <c r="I88" s="61" t="n"/>
    </row>
    <row r="89" ht="18" customHeight="1">
      <c r="B89" s="13" t="inlineStr">
        <is>
          <t>Đã làm gì trong tuần này? (*)</t>
        </is>
      </c>
      <c r="C89" s="62" t="n"/>
      <c r="D89" s="61" t="n"/>
      <c r="E89" s="14" t="inlineStr">
        <is>
          <t>Tích hợp các component vào App.jsx, kiểm thử giao diện và hoàn thiện báo cáo tuần.</t>
        </is>
      </c>
      <c r="F89" s="62" t="n"/>
      <c r="G89" s="62" t="n"/>
      <c r="H89" s="62" t="n"/>
      <c r="I89" s="61" t="n"/>
    </row>
    <row r="90" ht="18" customHeight="1">
      <c r="B90" s="13" t="inlineStr">
        <is>
          <t>AI đã hỗ trợ như thế nào?</t>
        </is>
      </c>
      <c r="C90" s="62" t="n"/>
      <c r="D90" s="61" t="n"/>
      <c r="E90" s="14" t="inlineStr">
        <is>
          <t>ChatGPT hỗ trợ tích hợp component và rà soát lỗi import.</t>
        </is>
      </c>
      <c r="F90" s="62" t="n"/>
      <c r="G90" s="62" t="n"/>
      <c r="H90" s="62" t="n"/>
      <c r="I90" s="61" t="n"/>
    </row>
    <row r="91" ht="36" customHeight="1">
      <c r="B91" s="13" t="inlineStr">
        <is>
          <t>AI sai hoặc thiếu ở đâu? (*)</t>
        </is>
      </c>
      <c r="C91" s="62" t="n"/>
      <c r="D91" s="61" t="n"/>
      <c r="E91" s="14" t="inlineStr">
        <is>
          <t>AI đề xuất sai một số đường dẫn import.
AI chưa xét đến cấu trúc thư mục thực tế của nhóm.</t>
        </is>
      </c>
      <c r="F91" s="62" t="n"/>
      <c r="G91" s="62" t="n"/>
      <c r="H91" s="62" t="n"/>
      <c r="I91" s="61" t="n"/>
    </row>
    <row r="92" ht="18" customHeight="1">
      <c r="B92" s="13" t="inlineStr">
        <is>
          <t>Khó khăn gặp phải</t>
        </is>
      </c>
      <c r="C92" s="62" t="n"/>
      <c r="D92" s="61" t="n"/>
      <c r="E92" s="14" t="inlineStr">
        <is>
          <t>Ghép nhiều component từ nhiều thành viên vào cùng dự án.</t>
        </is>
      </c>
      <c r="F92" s="62" t="n"/>
      <c r="G92" s="62" t="n"/>
      <c r="H92" s="62" t="n"/>
      <c r="I92" s="61" t="n"/>
    </row>
    <row r="93" ht="18" customHeight="1">
      <c r="B93" s="13" t="inlineStr">
        <is>
          <t>Nếu làm lại, sẽ cải thiện điều gì?</t>
        </is>
      </c>
      <c r="C93" s="62" t="n"/>
      <c r="D93" s="61" t="n"/>
      <c r="E93" s="14" t="inlineStr">
        <is>
          <t>Thống nhất naming convention và cấu trúc thư mục ngay từ đầu.</t>
        </is>
      </c>
      <c r="F93" s="62" t="n"/>
      <c r="G93" s="62" t="n"/>
      <c r="H93" s="62" t="n"/>
      <c r="I93" s="61" t="n"/>
    </row>
    <row r="95" ht="15.75" customHeight="1">
      <c r="B95" s="15" t="inlineStr">
        <is>
          <t>FER202  |  Week 02  |  FPT University — Điền xong nhớ Ctrl+S để lưu!</t>
        </is>
      </c>
      <c r="C95" s="62" t="n"/>
      <c r="D95" s="62" t="n"/>
      <c r="E95" s="62" t="n"/>
      <c r="F95" s="62" t="n"/>
      <c r="G95" s="62" t="n"/>
      <c r="H95" s="62" t="n"/>
      <c r="I95" s="61" t="n"/>
    </row>
  </sheetData>
  <mergeCells count="106">
    <mergeCell ref="B42:D42"/>
    <mergeCell ref="E68:I68"/>
    <mergeCell ref="E55:I55"/>
    <mergeCell ref="E52:I52"/>
    <mergeCell ref="B44:D44"/>
    <mergeCell ref="B53:D53"/>
    <mergeCell ref="E48:I48"/>
    <mergeCell ref="B84:D84"/>
    <mergeCell ref="B92:D92"/>
    <mergeCell ref="E40:I40"/>
    <mergeCell ref="B17:I17"/>
    <mergeCell ref="B88:I88"/>
    <mergeCell ref="E89:I89"/>
    <mergeCell ref="B62:D62"/>
    <mergeCell ref="B54:D54"/>
    <mergeCell ref="B72:D72"/>
    <mergeCell ref="B74:I74"/>
    <mergeCell ref="B56:D56"/>
    <mergeCell ref="B5:I5"/>
    <mergeCell ref="B70:D70"/>
    <mergeCell ref="B43:D43"/>
    <mergeCell ref="E50:I50"/>
    <mergeCell ref="E42:I42"/>
    <mergeCell ref="B59:I59"/>
    <mergeCell ref="B82:D82"/>
    <mergeCell ref="E83:I83"/>
    <mergeCell ref="E92:I92"/>
    <mergeCell ref="E44:I44"/>
    <mergeCell ref="B39:I39"/>
    <mergeCell ref="B68:D68"/>
    <mergeCell ref="B83:D83"/>
    <mergeCell ref="E69:I69"/>
    <mergeCell ref="E84:I84"/>
    <mergeCell ref="E78:I78"/>
    <mergeCell ref="B76:D76"/>
    <mergeCell ref="B45:D45"/>
    <mergeCell ref="E77:I77"/>
    <mergeCell ref="B85:D85"/>
    <mergeCell ref="E46:I46"/>
    <mergeCell ref="E86:I86"/>
    <mergeCell ref="B75:D75"/>
    <mergeCell ref="E61:I61"/>
    <mergeCell ref="B47:D47"/>
    <mergeCell ref="E70:I70"/>
    <mergeCell ref="E57:I57"/>
    <mergeCell ref="B33:I33"/>
    <mergeCell ref="B46:D46"/>
    <mergeCell ref="E54:I54"/>
    <mergeCell ref="E72:I72"/>
    <mergeCell ref="E41:I41"/>
    <mergeCell ref="E47:I47"/>
    <mergeCell ref="B48:D48"/>
    <mergeCell ref="E56:I56"/>
    <mergeCell ref="E43:I43"/>
    <mergeCell ref="B25:I25"/>
    <mergeCell ref="B78:D78"/>
    <mergeCell ref="E82:I82"/>
    <mergeCell ref="B49:D49"/>
    <mergeCell ref="B65:D65"/>
    <mergeCell ref="B67:I67"/>
    <mergeCell ref="B51:D51"/>
    <mergeCell ref="B29:I29"/>
    <mergeCell ref="B63:D63"/>
    <mergeCell ref="B41:D41"/>
    <mergeCell ref="B38:I38"/>
    <mergeCell ref="B50:D50"/>
    <mergeCell ref="E45:I45"/>
    <mergeCell ref="B91:D91"/>
    <mergeCell ref="B93:D93"/>
    <mergeCell ref="B95:I95"/>
    <mergeCell ref="B77:D77"/>
    <mergeCell ref="B86:D86"/>
    <mergeCell ref="B61:D61"/>
    <mergeCell ref="E62:I62"/>
    <mergeCell ref="B81:I81"/>
    <mergeCell ref="E71:I71"/>
    <mergeCell ref="B3:I3"/>
    <mergeCell ref="B69:D69"/>
    <mergeCell ref="B18:I18"/>
    <mergeCell ref="B58:I58"/>
    <mergeCell ref="E64:I64"/>
    <mergeCell ref="E79:I79"/>
    <mergeCell ref="E51:I51"/>
    <mergeCell ref="B2:I2"/>
    <mergeCell ref="G19:H19"/>
    <mergeCell ref="E63:I63"/>
    <mergeCell ref="B60:I60"/>
    <mergeCell ref="B55:D55"/>
    <mergeCell ref="B64:D64"/>
    <mergeCell ref="B89:D89"/>
    <mergeCell ref="E65:I65"/>
    <mergeCell ref="E90:I90"/>
    <mergeCell ref="B79:D79"/>
    <mergeCell ref="E49:I49"/>
    <mergeCell ref="B90:D90"/>
    <mergeCell ref="D19:F19"/>
    <mergeCell ref="E76:I76"/>
    <mergeCell ref="E91:I91"/>
    <mergeCell ref="E85:I85"/>
    <mergeCell ref="B6:I6"/>
    <mergeCell ref="B71:D71"/>
    <mergeCell ref="B20:I20"/>
    <mergeCell ref="B52:D52"/>
    <mergeCell ref="E75:I75"/>
    <mergeCell ref="E53:I53"/>
    <mergeCell ref="E93:I9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2:I94"/>
  <sheetViews>
    <sheetView showGridLines="0" tabSelected="1" zoomScaleNormal="100" workbookViewId="0">
      <selection activeCell="A71" sqref="A71"/>
    </sheetView>
  </sheetViews>
  <sheetFormatPr baseColWidth="8" defaultColWidth="8.6328125" defaultRowHeight="14.5"/>
  <cols>
    <col width="3" customWidth="1" min="1" max="1"/>
    <col width="12" customWidth="1" min="2" max="2"/>
    <col width="6" customWidth="1" min="3" max="3"/>
    <col width="14.09" customWidth="1" min="4" max="4"/>
    <col width="54.73" customWidth="1" min="5" max="5"/>
    <col width="24.73" customWidth="1" min="6" max="6"/>
    <col width="13.63" customWidth="1" min="7" max="7"/>
    <col width="29.73" customWidth="1" min="8" max="8"/>
    <col width="30.36" customWidth="1" min="9" max="9"/>
  </cols>
  <sheetData>
    <row r="1" ht="13.5" customHeight="1"/>
    <row r="2" ht="21" customHeight="1">
      <c r="B2" s="63" t="inlineStr">
        <is>
          <t>WEEK 03 — Nhật ký AI &amp; Project</t>
        </is>
      </c>
      <c r="C2" s="62" t="n"/>
      <c r="D2" s="62" t="n"/>
      <c r="E2" s="62" t="n"/>
      <c r="F2" s="62" t="n"/>
      <c r="G2" s="62" t="n"/>
      <c r="H2" s="62" t="n"/>
      <c r="I2" s="61" t="n"/>
    </row>
    <row r="3" ht="21" customHeight="1">
      <c r="B3" s="64" t="inlineStr">
        <is>
          <t>Mỗi thành viên dùng ký hiệu A/B/C/D/E ở cột TV.  Cột (*) bắt buộc điền.  Lưu file sau khi điền xong.</t>
        </is>
      </c>
    </row>
    <row r="5" ht="21" customHeight="1">
      <c r="B5" s="65" t="inlineStr">
        <is>
          <t>📋  BẢNG 1: Nhật ký sử dụng AI  (AI_AUDIT_LOG)</t>
        </is>
      </c>
      <c r="C5" s="62" t="n"/>
      <c r="D5" s="62" t="n"/>
      <c r="E5" s="62" t="n"/>
      <c r="F5" s="62" t="n"/>
      <c r="G5" s="62" t="n"/>
      <c r="H5" s="62" t="n"/>
      <c r="I5" s="61" t="n"/>
    </row>
    <row r="6" ht="21" customHeight="1">
      <c r="B6" s="64" t="inlineStr">
        <is>
          <t>Ghi mỗi lần dùng AI vào 1 dòng.  Mức hỗ trợ: Low = AI gợi ý nhỏ  |  Medium = AI đóng góp nhiều  |  High = AI tạo phần lớn</t>
        </is>
      </c>
    </row>
    <row r="7" ht="36" customHeight="1">
      <c r="B7" s="66" t="inlineStr">
        <is>
          <t>Ngày (*)</t>
        </is>
      </c>
      <c r="C7" s="66" t="inlineStr">
        <is>
          <t>TV (*)</t>
        </is>
      </c>
      <c r="D7" s="66" t="inlineStr">
        <is>
          <t>Công cụ AI (*)</t>
        </is>
      </c>
      <c r="E7" s="66" t="inlineStr">
        <is>
          <t>Mục đích sử dụng (*)</t>
        </is>
      </c>
      <c r="F7" s="66" t="inlineStr">
        <is>
          <t>File ảnh hưởng</t>
        </is>
      </c>
      <c r="G7" s="66" t="inlineStr">
        <is>
          <t>Mức hỗ trợ (*)</t>
        </is>
      </c>
      <c r="H7" s="66" t="inlineStr">
        <is>
          <t>Đã chỉnh sửa gì?</t>
        </is>
      </c>
      <c r="I7" s="66" t="inlineStr">
        <is>
          <t>Kiểm chứng</t>
        </is>
      </c>
    </row>
    <row r="8" ht="36" customHeight="1">
      <c r="B8" s="80" t="inlineStr">
        <is>
          <t>23/06/2026</t>
        </is>
      </c>
      <c r="C8" s="80" t="inlineStr">
        <is>
          <t>A</t>
        </is>
      </c>
      <c r="D8" s="80" t="inlineStr">
        <is>
          <t>ChatGPT</t>
        </is>
      </c>
      <c r="E8" s="80" t="inlineStr">
        <is>
          <t>Hỗ trợ cấu hình React Router v6 và triển khai Protected Routes theo role</t>
        </is>
      </c>
      <c r="F8" s="80" t="inlineStr">
        <is>
          <t>App.jsx, PrivateRoute.jsx</t>
        </is>
      </c>
      <c r="G8" s="80" t="inlineStr">
        <is>
          <t>Medium</t>
        </is>
      </c>
      <c r="H8" s="80" t="inlineStr">
        <is>
          <t>Bổ sung xử lý token hết hạn và redirect theo role</t>
        </is>
      </c>
      <c r="I8" s="80" t="inlineStr">
        <is>
          <t>Test điều hướng đúng với từng role</t>
        </is>
      </c>
    </row>
    <row r="9" ht="51" customHeight="1">
      <c r="B9" s="80" t="inlineStr">
        <is>
          <t>23/06/2026</t>
        </is>
      </c>
      <c r="C9" s="80" t="inlineStr">
        <is>
          <t>B</t>
        </is>
      </c>
      <c r="D9" s="80" t="inlineStr">
        <is>
          <t>ChatGPT</t>
        </is>
      </c>
      <c r="E9" s="80" t="inlineStr">
        <is>
          <t>Hỗ trợ viết custom hook useAuth quản lý JWT và login state</t>
        </is>
      </c>
      <c r="F9" s="80" t="inlineStr">
        <is>
          <t>useAuth.js, AuthContext.jsx</t>
        </is>
      </c>
      <c r="G9" s="80" t="inlineStr">
        <is>
          <t>High</t>
        </is>
      </c>
      <c r="H9" s="80" t="inlineStr">
        <is>
          <t>Thêm kiểm tra expiry, lưu token vào Context thay localStorage</t>
        </is>
      </c>
      <c r="I9" s="80" t="inlineStr">
        <is>
          <t>Kiểm tra login/logout flow và token persist</t>
        </is>
      </c>
    </row>
    <row r="10" ht="36" customHeight="1">
      <c r="B10" s="80" t="inlineStr">
        <is>
          <t>23/06/2026</t>
        </is>
      </c>
      <c r="C10" s="80" t="inlineStr">
        <is>
          <t>E</t>
        </is>
      </c>
      <c r="D10" s="80" t="inlineStr">
        <is>
          <t>ChatGPT</t>
        </is>
      </c>
      <c r="E10" s="80" t="inlineStr">
        <is>
          <t>Sinh dữ liệu mẫu Employee, Attendance, Payroll có khóa ngoại cho db.json</t>
        </is>
      </c>
      <c r="F10" s="80" t="inlineStr">
        <is>
          <t>db.json</t>
        </is>
      </c>
      <c r="G10" s="80" t="inlineStr">
        <is>
          <t>High</t>
        </is>
      </c>
      <c r="H10" s="80" t="inlineStr">
        <is>
          <t>Bổ sung trường role, workingShiftId, startDate còn thiếu</t>
        </is>
      </c>
      <c r="I10" s="80" t="inlineStr">
        <is>
          <t>JSON Server trả dữ liệu đúng, khóa ngoại hợp lệ</t>
        </is>
      </c>
    </row>
    <row r="11" ht="51" customHeight="1">
      <c r="B11" s="80" t="inlineStr">
        <is>
          <t>23/06/2026</t>
        </is>
      </c>
      <c r="C11" s="80" t="inlineStr">
        <is>
          <t>D</t>
        </is>
      </c>
      <c r="D11" s="80" t="inlineStr">
        <is>
          <t>Google Stitch AI</t>
        </is>
      </c>
      <c r="E11" s="80" t="inlineStr">
        <is>
          <t>Thiết kế màn hình Employee Details và Create Employee Form theo RDS UC10, UC11</t>
        </is>
      </c>
      <c r="F11" s="80" t="inlineStr">
        <is>
          <t>EmployeeDetails.fig, CreateEmployee.fig</t>
        </is>
      </c>
      <c r="G11" s="80" t="inlineStr">
        <is>
          <t>High</t>
        </is>
      </c>
      <c r="H11" s="80" t="inlineStr">
        <is>
          <t>Thêm field nationalId, address; bổ sung required indicator theo UC10</t>
        </is>
      </c>
      <c r="I11" s="80" t="inlineStr">
        <is>
          <t>Nhóm review và xác nhận khớp RDS</t>
        </is>
      </c>
    </row>
    <row r="12" ht="36" customHeight="1">
      <c r="B12" s="80" t="inlineStr">
        <is>
          <t>23/06/2026</t>
        </is>
      </c>
      <c r="C12" s="80" t="inlineStr">
        <is>
          <t>C</t>
        </is>
      </c>
      <c r="D12" s="80" t="inlineStr">
        <is>
          <t>ChatGPT</t>
        </is>
      </c>
      <c r="E12" s="80" t="inlineStr">
        <is>
          <t>Hỗ trợ dùng useEffect fetch dữ liệu thực từ JSON Server với loading/error state</t>
        </is>
      </c>
      <c r="F12" s="80" t="inlineStr">
        <is>
          <t>EmployeeList.jsx</t>
        </is>
      </c>
      <c r="G12" s="80" t="inlineStr">
        <is>
          <t>Medium</t>
        </is>
      </c>
      <c r="H12" s="80" t="inlineStr">
        <is>
          <t>Bổ sung AbortController cleanup khi component unmount</t>
        </is>
      </c>
      <c r="I12" s="80" t="inlineStr">
        <is>
          <t>Không còn memory leak warning trên console</t>
        </is>
      </c>
    </row>
    <row r="13" ht="51" customHeight="1">
      <c r="B13" s="80" t="inlineStr">
        <is>
          <t>23/06/2026</t>
        </is>
      </c>
      <c r="C13" s="80" t="inlineStr">
        <is>
          <t>A</t>
        </is>
      </c>
      <c r="D13" s="80" t="inlineStr">
        <is>
          <t>ChatGPT</t>
        </is>
      </c>
      <c r="E13" s="80" t="inlineStr">
        <is>
          <t>Hỗ trợ xây dựng LoginPage với form validation và xử lý response API auth</t>
        </is>
      </c>
      <c r="F13" s="80" t="inlineStr">
        <is>
          <t>LoginPage.jsx</t>
        </is>
      </c>
      <c r="G13" s="80" t="inlineStr">
        <is>
          <t>Medium</t>
        </is>
      </c>
      <c r="H13" s="80" t="inlineStr">
        <is>
          <t>Thêm xử lý lỗi 401/403, thông báo lỗi và redirect sau login</t>
        </is>
      </c>
      <c r="I13" s="80" t="inlineStr">
        <is>
          <t>Test login đúng/sai credentials và redirect đúng</t>
        </is>
      </c>
    </row>
    <row r="14" ht="51" customHeight="1">
      <c r="B14" s="80" t="inlineStr">
        <is>
          <t>23/06/2026</t>
        </is>
      </c>
      <c r="C14" s="80" t="inlineStr">
        <is>
          <t>B</t>
        </is>
      </c>
      <c r="D14" s="80" t="inlineStr">
        <is>
          <t>ChatGPT</t>
        </is>
      </c>
      <c r="E14" s="80" t="inlineStr">
        <is>
          <t>Hỗ trợ viết service layer employeeService.js với các hàm CRUD</t>
        </is>
      </c>
      <c r="F14" s="80" t="inlineStr">
        <is>
          <t>employeeService.js</t>
        </is>
      </c>
      <c r="G14" s="80" t="inlineStr">
        <is>
          <t>Medium</t>
        </is>
      </c>
      <c r="H14" s="80" t="inlineStr">
        <is>
          <t>Chuyển từ axios sang fetch API, bổ sung try-catch toàn bộ hàm</t>
        </is>
      </c>
      <c r="I14" s="80" t="inlineStr">
        <is>
          <t>Test tạo/sửa/xóa nhân viên thành công</t>
        </is>
      </c>
    </row>
    <row r="15" ht="51" customHeight="1">
      <c r="B15" s="80" t="inlineStr">
        <is>
          <t>23/06/2026</t>
        </is>
      </c>
      <c r="C15" s="80" t="inlineStr">
        <is>
          <t>C</t>
        </is>
      </c>
      <c r="D15" s="80" t="inlineStr">
        <is>
          <t>ChatGPT</t>
        </is>
      </c>
      <c r="E15" s="80" t="inlineStr">
        <is>
          <t>Hỗ trợ soạn báo cáo tiến độ tuần 03 và tổng kết kết quả nhóm</t>
        </is>
      </c>
      <c r="F15" s="80" t="inlineStr">
        <is>
          <t>Week03_Report.docx</t>
        </is>
      </c>
      <c r="G15" s="80" t="inlineStr">
        <is>
          <t>Low</t>
        </is>
      </c>
      <c r="H15" s="80" t="inlineStr">
        <is>
          <t>Chỉnh lại theo kết quả thực tế, bỏ nội dung AI thêm không liên quan</t>
        </is>
      </c>
      <c r="I15" s="80" t="inlineStr">
        <is>
          <t>Nhóm xác nhận và mentor review</t>
        </is>
      </c>
    </row>
    <row r="17" ht="21" customHeight="1">
      <c r="B17" s="68" t="inlineStr">
        <is>
          <t>📝  BẢNG 2: Nhật ký thay đổi project  (CHANGELOG)</t>
        </is>
      </c>
      <c r="C17" s="62" t="n"/>
      <c r="D17" s="62" t="n"/>
      <c r="E17" s="62" t="n"/>
      <c r="F17" s="62" t="n"/>
      <c r="G17" s="62" t="n"/>
      <c r="H17" s="62" t="n"/>
      <c r="I17" s="61" t="n"/>
    </row>
    <row r="18" ht="21" customHeight="1">
      <c r="B18" s="64" t="inlineStr">
        <is>
          <t>Added = thêm mới  |  Changed = cải tiến  |  Fixed = sửa lỗi  |  Removed = xóa bỏ</t>
        </is>
      </c>
    </row>
    <row r="19" ht="21" customHeight="1">
      <c r="B19" s="69" t="inlineStr">
        <is>
          <t>Loại (*)</t>
        </is>
      </c>
      <c r="C19" s="69" t="inlineStr">
        <is>
          <t>TV (*)</t>
        </is>
      </c>
      <c r="D19" s="69" t="inlineStr">
        <is>
          <t>Mô tả thay đổi (*)</t>
        </is>
      </c>
      <c r="E19" s="62" t="n"/>
      <c r="F19" s="61" t="n"/>
      <c r="G19" s="69" t="inlineStr">
        <is>
          <t>File liên quan</t>
        </is>
      </c>
      <c r="H19" s="61" t="n"/>
      <c r="I19" s="69" t="inlineStr">
        <is>
          <t>Ghi chú</t>
        </is>
      </c>
    </row>
    <row r="20" ht="21" customHeight="1">
      <c r="B20" s="81" t="inlineStr">
        <is>
          <t>Added — Thêm mới</t>
        </is>
      </c>
      <c r="C20" s="62" t="n"/>
      <c r="D20" s="62" t="n"/>
      <c r="E20" s="62" t="n"/>
      <c r="F20" s="62" t="n"/>
      <c r="G20" s="62" t="n"/>
      <c r="H20" s="62" t="n"/>
      <c r="I20" s="61" t="n"/>
    </row>
    <row r="21" ht="36" customHeight="1">
      <c r="B21" s="80" t="inlineStr">
        <is>
          <t>Added</t>
        </is>
      </c>
      <c r="C21" s="80" t="inlineStr">
        <is>
          <t>A</t>
        </is>
      </c>
      <c r="D21" s="80" t="inlineStr">
        <is>
          <t>Xây dựng LoginPage Component với form validation và gọi API xác thực người dùng.</t>
        </is>
      </c>
      <c r="E21" s="62" t="n"/>
      <c r="F21" s="61" t="n"/>
      <c r="G21" s="80" t="inlineStr">
        <is>
          <t>LoginPage.jsx, useAuth.js</t>
        </is>
      </c>
      <c r="H21" s="80" t="n"/>
      <c r="I21" s="80" t="inlineStr">
        <is>
          <t>Theo UC01 - Login trong RDS.</t>
        </is>
      </c>
    </row>
    <row r="22" ht="36" customHeight="1">
      <c r="B22" s="80" t="inlineStr">
        <is>
          <t>Added</t>
        </is>
      </c>
      <c r="C22" s="80" t="inlineStr">
        <is>
          <t>B</t>
        </is>
      </c>
      <c r="D22" s="80" t="inlineStr">
        <is>
          <t>Triển khai Protected Routes và điều hướng theo role người dùng (HR Manager, Employee).</t>
        </is>
      </c>
      <c r="E22" s="62" t="n"/>
      <c r="F22" s="61" t="n"/>
      <c r="G22" s="80" t="inlineStr">
        <is>
          <t>App.jsx, PrivateRoute.jsx</t>
        </is>
      </c>
      <c r="H22" s="80" t="n"/>
      <c r="I22" s="80" t="inlineStr">
        <is>
          <t>Dựa trên Screen Authorization trong RDS.</t>
        </is>
      </c>
    </row>
    <row r="23" ht="36" customHeight="1">
      <c r="B23" s="80" t="inlineStr">
        <is>
          <t>Added</t>
        </is>
      </c>
      <c r="C23" s="80" t="inlineStr">
        <is>
          <t>E</t>
        </is>
      </c>
      <c r="D23" s="80" t="inlineStr">
        <is>
          <t>Mở rộng db.json với dữ liệu mẫu đầy đủ cho Employee, Attendance, Payroll.</t>
        </is>
      </c>
      <c r="E23" s="62" t="n"/>
      <c r="F23" s="61" t="n"/>
      <c r="G23" s="80" t="inlineStr">
        <is>
          <t>db.json</t>
        </is>
      </c>
      <c r="H23" s="80" t="n"/>
      <c r="I23" s="80" t="inlineStr">
        <is>
          <t>Phục vụ phát triển và test offline.</t>
        </is>
      </c>
    </row>
    <row r="24" ht="21" customHeight="1">
      <c r="B24" s="81" t="inlineStr">
        <is>
          <t>Changed — Cải tiến</t>
        </is>
      </c>
      <c r="C24" s="62" t="n"/>
      <c r="D24" s="62" t="n"/>
      <c r="E24" s="62" t="n"/>
      <c r="F24" s="62" t="n"/>
      <c r="G24" s="62" t="n"/>
      <c r="H24" s="62" t="n"/>
      <c r="I24" s="61" t="n"/>
    </row>
    <row r="25" ht="36" customHeight="1">
      <c r="B25" s="80" t="inlineStr">
        <is>
          <t>Changed</t>
        </is>
      </c>
      <c r="C25" s="80" t="inlineStr">
        <is>
          <t>C</t>
        </is>
      </c>
      <c r="D25" s="80" t="inlineStr">
        <is>
          <t>Nâng cấp EmployeeList dùng useEffect để fetch dữ liệu thực từ JSON Server thay dữ liệu hardcode.</t>
        </is>
      </c>
      <c r="E25" s="62" t="n"/>
      <c r="F25" s="61" t="n"/>
      <c r="G25" s="80" t="inlineStr">
        <is>
          <t>EmployeeList.jsx</t>
        </is>
      </c>
      <c r="H25" s="80" t="n"/>
      <c r="I25" s="80" t="inlineStr">
        <is>
          <t>Chuẩn bị cho tích hợp backend thực tế.</t>
        </is>
      </c>
    </row>
    <row r="26" ht="36" customHeight="1">
      <c r="B26" s="80" t="inlineStr">
        <is>
          <t>Changed</t>
        </is>
      </c>
      <c r="C26" s="80" t="inlineStr">
        <is>
          <t>D</t>
        </is>
      </c>
      <c r="D26" s="80" t="inlineStr">
        <is>
          <t>Cập nhật mockup Employee Details và Create Form theo UC10, UC11, UC12 trong RDS.</t>
        </is>
      </c>
      <c r="E26" s="62" t="n"/>
      <c r="F26" s="61" t="n"/>
      <c r="G26" s="80" t="inlineStr">
        <is>
          <t>EmployeeDetails.fig</t>
        </is>
      </c>
      <c r="H26" s="80" t="n"/>
      <c r="I26" s="80" t="inlineStr">
        <is>
          <t>Đảm bảo UI phản ánh đúng yêu cầu nghiệp vụ.</t>
        </is>
      </c>
    </row>
    <row r="27" ht="18" customHeight="1">
      <c r="B27" s="21" t="n"/>
      <c r="C27" s="21" t="n"/>
      <c r="D27" s="21" t="n"/>
      <c r="E27" s="21" t="n"/>
      <c r="F27" s="21" t="n"/>
      <c r="G27" s="21" t="n"/>
      <c r="H27" s="21" t="n"/>
      <c r="I27" s="21" t="n"/>
    </row>
    <row r="28" ht="21" customHeight="1">
      <c r="B28" s="81" t="inlineStr">
        <is>
          <t>Fixed — Sửa lỗi</t>
        </is>
      </c>
      <c r="C28" s="62" t="n"/>
      <c r="D28" s="62" t="n"/>
      <c r="E28" s="62" t="n"/>
      <c r="F28" s="62" t="n"/>
      <c r="G28" s="62" t="n"/>
      <c r="H28" s="62" t="n"/>
      <c r="I28" s="61" t="n"/>
    </row>
    <row r="29" ht="36" customHeight="1">
      <c r="B29" s="80" t="inlineStr">
        <is>
          <t>Fixed</t>
        </is>
      </c>
      <c r="C29" s="80" t="inlineStr">
        <is>
          <t>A</t>
        </is>
      </c>
      <c r="D29" s="80" t="inlineStr">
        <is>
          <t>Sửa lỗi redirect vòng lặp vô hạn trong PrivateRoute khi user chưa đăng nhập.</t>
        </is>
      </c>
      <c r="E29" s="62" t="n"/>
      <c r="F29" s="61" t="n"/>
      <c r="G29" s="80" t="inlineStr">
        <is>
          <t>PrivateRoute.jsx</t>
        </is>
      </c>
      <c r="H29" s="80" t="n"/>
      <c r="I29" s="80" t="inlineStr">
        <is>
          <t>Navigation hoạt động đúng, không loop.</t>
        </is>
      </c>
    </row>
    <row r="30" ht="36" customHeight="1">
      <c r="B30" s="80" t="inlineStr">
        <is>
          <t>Fixed</t>
        </is>
      </c>
      <c r="C30" s="80" t="inlineStr">
        <is>
          <t>B</t>
        </is>
      </c>
      <c r="D30" s="80" t="inlineStr">
        <is>
          <t>Sửa lỗi CORS khi React app fetch dữ liệu từ JSON Server chạy port khác.</t>
        </is>
      </c>
      <c r="E30" s="62" t="n"/>
      <c r="F30" s="61" t="n"/>
      <c r="G30" s="80" t="inlineStr">
        <is>
          <t>vite.config.js</t>
        </is>
      </c>
      <c r="H30" s="80" t="n"/>
      <c r="I30" s="80" t="inlineStr">
        <is>
          <t>API call thành công từ React app.</t>
        </is>
      </c>
    </row>
    <row r="31" ht="18" customHeight="1">
      <c r="B31" s="21" t="n"/>
      <c r="C31" s="21" t="n"/>
      <c r="D31" s="21" t="n"/>
      <c r="E31" s="21" t="n"/>
      <c r="F31" s="21" t="n"/>
      <c r="G31" s="21" t="n"/>
      <c r="H31" s="21" t="n"/>
      <c r="I31" s="21" t="n"/>
    </row>
    <row r="32" ht="21" customHeight="1">
      <c r="B32" s="81" t="inlineStr">
        <is>
          <t>Removed — Xóa bỏ</t>
        </is>
      </c>
      <c r="C32" s="62" t="n"/>
      <c r="D32" s="62" t="n"/>
      <c r="E32" s="62" t="n"/>
      <c r="F32" s="62" t="n"/>
      <c r="G32" s="62" t="n"/>
      <c r="H32" s="62" t="n"/>
      <c r="I32" s="61" t="n"/>
    </row>
    <row r="33" ht="51" customHeight="1">
      <c r="B33" s="80" t="inlineStr">
        <is>
          <t>Removed</t>
        </is>
      </c>
      <c r="C33" s="80" t="inlineStr">
        <is>
          <t>C</t>
        </is>
      </c>
      <c r="D33" s="80" t="inlineStr">
        <is>
          <t>Xóa toàn bộ dữ liệu hardcode trong EmployeeList và Dashboard, thay bằng fetch API.</t>
        </is>
      </c>
      <c r="E33" s="62" t="n"/>
      <c r="F33" s="61" t="n"/>
      <c r="G33" s="80" t="inlineStr">
        <is>
          <t>EmployeeList.jsx, Dashboard.jsx</t>
        </is>
      </c>
      <c r="H33" s="80" t="n"/>
      <c r="I33" s="80" t="inlineStr">
        <is>
          <t>Tách biệt data layer và UI layer.</t>
        </is>
      </c>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 customHeight="1">
      <c r="B37" s="71" t="inlineStr">
        <is>
          <t>💡  BẢNG 3: Nhật ký Prompt AI  (PROMPTS)</t>
        </is>
      </c>
      <c r="C37" s="62" t="n"/>
      <c r="D37" s="62" t="n"/>
      <c r="E37" s="62" t="n"/>
      <c r="F37" s="62" t="n"/>
      <c r="G37" s="62" t="n"/>
      <c r="H37" s="62" t="n"/>
      <c r="I37" s="61" t="n"/>
    </row>
    <row r="38" ht="21" customHeight="1">
      <c r="B38" s="64" t="inlineStr">
        <is>
          <t>Mỗi prompt quan trọng ghi 1 block gồm 4 dòng. Ghi rõ prompt đã dùng, kết quả, cách nhóm sử dụng, và kiểm chứng.</t>
        </is>
      </c>
    </row>
    <row r="39" ht="21" customHeight="1">
      <c r="B39" s="72" t="inlineStr">
        <is>
          <t>Prompt #</t>
        </is>
      </c>
      <c r="C39" s="72" t="inlineStr">
        <is>
          <t>TV</t>
        </is>
      </c>
      <c r="D39" s="72" t="inlineStr">
        <is>
          <t>Công cụ AI</t>
        </is>
      </c>
      <c r="E39" s="72" t="inlineStr">
        <is>
          <t>Prompt đã dùng (nguyên văn) (*)</t>
        </is>
      </c>
      <c r="F39" s="62" t="n"/>
      <c r="G39" s="62" t="n"/>
      <c r="H39" s="62" t="n"/>
      <c r="I39" s="61" t="n"/>
    </row>
    <row r="40" ht="21" customHeight="1">
      <c r="B40" s="82" t="inlineStr">
        <is>
          <t>Prompt #1</t>
        </is>
      </c>
      <c r="C40" s="62" t="n"/>
      <c r="D40" s="61" t="n"/>
      <c r="E40" s="80" t="inlineStr">
        <is>
          <t>"How to implement protected routes in React Router v6 with JWT token? Show me a PrivateRoute component that redirects unauthenticated users to /login."</t>
        </is>
      </c>
      <c r="F40" s="62" t="n"/>
      <c r="G40" s="62" t="n"/>
      <c r="H40" s="62" t="n"/>
      <c r="I40" s="61" t="n"/>
    </row>
    <row r="41" ht="36" customHeight="1">
      <c r="B41" s="83" t="inlineStr">
        <is>
          <t>Kết quả AI trả về và vấn đề gặp phải:</t>
        </is>
      </c>
      <c r="C41" s="62" t="n"/>
      <c r="D41" s="61" t="n"/>
      <c r="E41" s="80" t="inlineStr">
        <is>
          <t>AI trả về PrivateRoute đúng cấu trúc nhưng dùng localStorage trực tiếp, chưa xử lý token hết hạn.</t>
        </is>
      </c>
      <c r="F41" s="62" t="n"/>
      <c r="G41" s="62" t="n"/>
      <c r="H41" s="62" t="n"/>
      <c r="I41" s="61" t="n"/>
    </row>
    <row r="42" ht="36" customHeight="1">
      <c r="B42" s="83" t="inlineStr">
        <is>
          <t>Nhóm đã chỉnh sửa / sử dụng như thế nào:</t>
        </is>
      </c>
      <c r="C42" s="62" t="n"/>
      <c r="D42" s="61" t="n"/>
      <c r="E42" s="80" t="inlineStr">
        <is>
          <t>Nhóm tích hợp vào useAuth Context, thêm logic kiểm tra JWT expiry trước khi cho phép vào route.</t>
        </is>
      </c>
      <c r="F42" s="62" t="n"/>
      <c r="G42" s="62" t="n"/>
      <c r="H42" s="62" t="n"/>
      <c r="I42" s="61" t="n"/>
    </row>
    <row r="43" ht="36" customHeight="1">
      <c r="B43" s="83" t="inlineStr">
        <is>
          <t>Kiểm chứng (test pass/fail, kết quả đúng không):</t>
        </is>
      </c>
      <c r="C43" s="62" t="n"/>
      <c r="D43" s="61" t="n"/>
      <c r="E43" s="80" t="inlineStr">
        <is>
          <t>PASS. Redirect đúng với user chưa đăng nhập; user đã login vào được trang được phép.</t>
        </is>
      </c>
      <c r="F43" s="62" t="n"/>
      <c r="G43" s="62" t="n"/>
      <c r="H43" s="62" t="n"/>
      <c r="I43" s="61" t="n"/>
    </row>
    <row r="44" ht="21" customHeight="1">
      <c r="B44" s="82" t="inlineStr">
        <is>
          <t>Prompt #2</t>
        </is>
      </c>
      <c r="C44" s="62" t="n"/>
      <c r="D44" s="61" t="n"/>
      <c r="E44" s="80" t="inlineStr">
        <is>
          <t>"Create a custom React hook useAuth that manages login state, stores JWT in Context API, and exposes login() and logout() functions."</t>
        </is>
      </c>
      <c r="F44" s="62" t="n"/>
      <c r="G44" s="62" t="n"/>
      <c r="H44" s="62" t="n"/>
      <c r="I44" s="61" t="n"/>
    </row>
    <row r="45" ht="36" customHeight="1">
      <c r="B45" s="83" t="inlineStr">
        <is>
          <t>Kết quả AI trả về và vấn đề gặp phải:</t>
        </is>
      </c>
      <c r="C45" s="62" t="n"/>
      <c r="D45" s="61" t="n"/>
      <c r="E45" s="80" t="inlineStr">
        <is>
          <t>AI sinh hook đầy đủ nhưng bỏ qua token expiry check và không có xử lý auto logout khi token hết hạn.</t>
        </is>
      </c>
      <c r="F45" s="62" t="n"/>
      <c r="G45" s="62" t="n"/>
      <c r="H45" s="62" t="n"/>
      <c r="I45" s="61" t="n"/>
    </row>
    <row r="46" ht="36" customHeight="1">
      <c r="B46" s="83" t="inlineStr">
        <is>
          <t>Nhóm đã chỉnh sửa / sử dụng như thế nào:</t>
        </is>
      </c>
      <c r="C46" s="62" t="n"/>
      <c r="D46" s="61" t="n"/>
      <c r="E46" s="80" t="inlineStr">
        <is>
          <t>Nhóm thêm decode JWT để kiểm tra exp, gọi logout() tự động khi hết hạn, lưu token qua Context.</t>
        </is>
      </c>
      <c r="F46" s="62" t="n"/>
      <c r="G46" s="62" t="n"/>
      <c r="H46" s="62" t="n"/>
      <c r="I46" s="61" t="n"/>
    </row>
    <row r="47" ht="36" customHeight="1">
      <c r="B47" s="83" t="inlineStr">
        <is>
          <t>Kiểm chứng (test pass/fail, kết quả đúng không):</t>
        </is>
      </c>
      <c r="C47" s="62" t="n"/>
      <c r="D47" s="61" t="n"/>
      <c r="E47" s="80" t="inlineStr">
        <is>
          <t>PASS. Login/logout hoạt động đúng, auth state persist sau F5, tự logout khi token expired.</t>
        </is>
      </c>
      <c r="F47" s="62" t="n"/>
      <c r="G47" s="62" t="n"/>
      <c r="H47" s="62" t="n"/>
      <c r="I47" s="61" t="n"/>
    </row>
    <row r="48" ht="21" customHeight="1">
      <c r="B48" s="82" t="inlineStr">
        <is>
          <t>Prompt #3</t>
        </is>
      </c>
      <c r="C48" s="62" t="n"/>
      <c r="D48" s="61" t="n"/>
      <c r="E48" s="80" t="inlineStr">
        <is>
          <t>"Show how to use useEffect to fetch data from JSON Server REST API in React functional component, with loading state and error handling."</t>
        </is>
      </c>
      <c r="F48" s="62" t="n"/>
      <c r="G48" s="62" t="n"/>
      <c r="H48" s="62" t="n"/>
      <c r="I48" s="61" t="n"/>
    </row>
    <row r="49" ht="36" customHeight="1">
      <c r="B49" s="83" t="inlineStr">
        <is>
          <t>Kết quả AI trả về và vấn đề gặp phải:</t>
        </is>
      </c>
      <c r="C49" s="62" t="n"/>
      <c r="D49" s="61" t="n"/>
      <c r="E49" s="80" t="inlineStr">
        <is>
          <t>AI hướng dẫn đúng pattern cơ bản nhưng thiếu cleanup function, gây memory leak khi component unmount.</t>
        </is>
      </c>
      <c r="F49" s="62" t="n"/>
      <c r="G49" s="62" t="n"/>
      <c r="H49" s="62" t="n"/>
      <c r="I49" s="61" t="n"/>
    </row>
    <row r="50" ht="36" customHeight="1">
      <c r="B50" s="83" t="inlineStr">
        <is>
          <t>Nhóm đã chỉnh sửa / sử dụng như thế nào:</t>
        </is>
      </c>
      <c r="C50" s="62" t="n"/>
      <c r="D50" s="61" t="n"/>
      <c r="E50" s="80" t="inlineStr">
        <is>
          <t>Nhóm bổ sung AbortController trong useEffect cleanup để cancel request khi component unmount.</t>
        </is>
      </c>
      <c r="F50" s="62" t="n"/>
      <c r="G50" s="62" t="n"/>
      <c r="H50" s="62" t="n"/>
      <c r="I50" s="61" t="n"/>
    </row>
    <row r="51" ht="36" customHeight="1">
      <c r="B51" s="83" t="inlineStr">
        <is>
          <t>Kiểm chứng (test pass/fail, kết quả đúng không):</t>
        </is>
      </c>
      <c r="C51" s="62" t="n"/>
      <c r="D51" s="61" t="n"/>
      <c r="E51" s="80" t="inlineStr">
        <is>
          <t>PASS. Không còn warning 'Can't perform state update on unmounted component' trên console.</t>
        </is>
      </c>
      <c r="F51" s="62" t="n"/>
      <c r="G51" s="62" t="n"/>
      <c r="H51" s="62" t="n"/>
      <c r="I51" s="61" t="n"/>
    </row>
    <row r="52" ht="36" customHeight="1">
      <c r="B52" s="82" t="inlineStr">
        <is>
          <t>Prompt #4</t>
        </is>
      </c>
      <c r="C52" s="62" t="n"/>
      <c r="D52" s="61" t="n"/>
      <c r="E52" s="80" t="inlineStr">
        <is>
          <t>"Design a Create Employee form UI with fields: fullName, username, email, password, role, employeeType, phone, position, dateOfBirth, startDate, nationalId, address. Mark required fields."</t>
        </is>
      </c>
      <c r="F52" s="62" t="n"/>
      <c r="G52" s="62" t="n"/>
      <c r="H52" s="62" t="n"/>
      <c r="I52" s="61" t="n"/>
    </row>
    <row r="53" ht="36" customHeight="1">
      <c r="B53" s="83" t="inlineStr">
        <is>
          <t>Kết quả AI trả về và vấn đề gặp phải:</t>
        </is>
      </c>
      <c r="C53" s="62" t="n"/>
      <c r="D53" s="61" t="n"/>
      <c r="E53" s="80" t="inlineStr">
        <is>
          <t>AI tạo form khá đẹp nhưng bỏ sót trường nationalId và address, chưa có validation message, phân quyền chưa đúng RDS.</t>
        </is>
      </c>
      <c r="F53" s="62" t="n"/>
      <c r="G53" s="62" t="n"/>
      <c r="H53" s="62" t="n"/>
      <c r="I53" s="61" t="n"/>
    </row>
    <row r="54" ht="36" customHeight="1">
      <c r="B54" s="83" t="inlineStr">
        <is>
          <t>Nhóm đã chỉnh sửa / sử dụng như thế nào:</t>
        </is>
      </c>
      <c r="C54" s="62" t="n"/>
      <c r="D54" s="61" t="n"/>
      <c r="E54" s="80" t="inlineStr">
        <is>
          <t>Nhóm bổ sung field còn thiếu theo UC10 RDS, thêm (*) required indicator, điều chỉnh layout theo Design Spec.</t>
        </is>
      </c>
      <c r="F54" s="62" t="n"/>
      <c r="G54" s="62" t="n"/>
      <c r="H54" s="62" t="n"/>
      <c r="I54" s="61" t="n"/>
    </row>
    <row r="55" ht="36" customHeight="1">
      <c r="B55" s="83" t="inlineStr">
        <is>
          <t>Kiểm chứng (test pass/fail, kết quả đúng không):</t>
        </is>
      </c>
      <c r="C55" s="62" t="n"/>
      <c r="D55" s="61" t="n"/>
      <c r="E55" s="80" t="inlineStr">
        <is>
          <t>PASS sau khi chỉnh sửa. UI khớp với UC10, UC11 trong RDS, nhóm confirm.</t>
        </is>
      </c>
      <c r="F55" s="62" t="n"/>
      <c r="G55" s="62" t="n"/>
      <c r="H55" s="62" t="n"/>
      <c r="I55" s="61" t="n"/>
    </row>
    <row r="56">
      <c r="E56" s="21" t="n"/>
      <c r="F56" s="62" t="n"/>
      <c r="G56" s="62" t="n"/>
      <c r="H56" s="62" t="n"/>
      <c r="I56" s="61" t="n"/>
    </row>
    <row r="57" ht="21" customHeight="1">
      <c r="B57" s="75" t="inlineStr">
        <is>
          <t>🪞  BẢNG 4: Suy ngẫm cuối tuần  (REFLECTION)</t>
        </is>
      </c>
      <c r="C57" s="62" t="n"/>
      <c r="D57" s="62" t="n"/>
      <c r="E57" s="62" t="n"/>
      <c r="F57" s="62" t="n"/>
      <c r="G57" s="62" t="n"/>
      <c r="H57" s="62" t="n"/>
      <c r="I57" s="61" t="n"/>
    </row>
    <row r="58" ht="21" customHeight="1">
      <c r="B58" s="64" t="inlineStr">
        <is>
          <t>Mỗi thành viên điền 1 block riêng. Mục 'AI sai/thiếu' bắt buộc ≥ 2 ví dụ cụ thể. Viết thành câu đầy đủ.</t>
        </is>
      </c>
    </row>
    <row r="59" ht="21" customHeight="1">
      <c r="B59" s="84" t="inlineStr">
        <is>
          <t>Thành viên A — Trưởng nhóm</t>
        </is>
      </c>
      <c r="C59" s="62" t="n"/>
      <c r="D59" s="62" t="n"/>
      <c r="E59" s="62" t="n"/>
      <c r="F59" s="62" t="n"/>
      <c r="G59" s="62" t="n"/>
      <c r="H59" s="62" t="n"/>
      <c r="I59" s="61" t="n"/>
    </row>
    <row r="60" ht="36" customHeight="1">
      <c r="B60" s="85" t="inlineStr">
        <is>
          <t>Đã làm gì trong tuần này? (*)</t>
        </is>
      </c>
      <c r="C60" s="62" t="n"/>
      <c r="D60" s="61" t="n"/>
      <c r="E60" s="86" t="inlineStr">
        <is>
          <t>Xây dựng LoginPage với form validation và API auth call. Cấu hình React Router v6 Protected Routes theo role. Tích hợp useAuth hook vào toàn bộ hệ thống navigation.</t>
        </is>
      </c>
    </row>
    <row r="61" ht="21" customHeight="1">
      <c r="B61" s="85" t="inlineStr">
        <is>
          <t>AI đã hỗ trợ như thế nào?</t>
        </is>
      </c>
      <c r="C61" s="62" t="n"/>
      <c r="D61" s="61" t="n"/>
      <c r="E61" s="86" t="inlineStr">
        <is>
          <t>ChatGPT hỗ trợ cấu trúc PrivateRoute và cách tổ chức routing theo role, tiết kiệm thời gian đọc docs React Router v6.</t>
        </is>
      </c>
    </row>
    <row r="62" ht="36" customHeight="1">
      <c r="B62" s="85" t="inlineStr">
        <is>
          <t>AI sai hoặc thiếu ở đâu? (*)</t>
        </is>
      </c>
      <c r="C62" s="62" t="n"/>
      <c r="D62" s="61" t="n"/>
      <c r="E62" s="86" t="inlineStr">
        <is>
          <t>1. AI không xử lý token hết hạn trong PrivateRoute, chỉ check token tồn tại chứ không kiểm tra expiry.
2. AI đề xuất dùng localStorage trực tiếp thay vì Context API, không phù hợp kiến trúc dự án.</t>
        </is>
      </c>
    </row>
    <row r="63" ht="21" customHeight="1">
      <c r="B63" s="85" t="inlineStr">
        <is>
          <t>Khó khăn gặp phải</t>
        </is>
      </c>
      <c r="C63" s="62" t="n"/>
      <c r="D63" s="61" t="n"/>
      <c r="E63" s="86" t="inlineStr">
        <is>
          <t>Lần đầu triển khai full authentication flow trong React, mất nhiều thời gian debug vòng lặp redirect.</t>
        </is>
      </c>
    </row>
    <row r="64" ht="36" customHeight="1">
      <c r="B64" s="85" t="inlineStr">
        <is>
          <t>Nếu làm lại, sẽ cải thiện điều gì?</t>
        </is>
      </c>
      <c r="C64" s="62" t="n"/>
      <c r="D64" s="61" t="n"/>
      <c r="E64" s="86" t="inlineStr">
        <is>
          <t>Vẽ diagram auth flow trước khi code để tránh debug nhiều. Đọc kỹ React Router v6 docs về loader/redirect.</t>
        </is>
      </c>
    </row>
    <row r="65" ht="13.5" customHeight="1">
      <c r="B65" s="87" t="n"/>
      <c r="C65" s="87" t="n"/>
      <c r="D65" s="87" t="n"/>
      <c r="E65" s="87" t="n"/>
      <c r="F65" s="87" t="n"/>
      <c r="G65" s="87" t="n"/>
      <c r="H65" s="87" t="n"/>
      <c r="I65" s="87" t="n"/>
    </row>
    <row r="66" ht="21" customHeight="1">
      <c r="B66" s="84" t="inlineStr">
        <is>
          <t>Thành viên B — Thành viên</t>
        </is>
      </c>
      <c r="C66" s="62" t="n"/>
      <c r="D66" s="62" t="n"/>
      <c r="E66" s="62" t="n"/>
      <c r="F66" s="62" t="n"/>
      <c r="G66" s="62" t="n"/>
      <c r="H66" s="62" t="n"/>
      <c r="I66" s="61" t="n"/>
    </row>
    <row r="67" ht="21" customHeight="1">
      <c r="B67" s="85" t="inlineStr">
        <is>
          <t>Đã làm gì trong tuần này? (*)</t>
        </is>
      </c>
      <c r="C67" s="62" t="n"/>
      <c r="D67" s="61" t="n"/>
      <c r="E67" s="86" t="inlineStr">
        <is>
          <t>Xây dựng custom hook useAuth với JWT management. Viết service layer employeeService.js các hàm CRUD. Sửa lỗi CORS khi kết nối JSON Server.</t>
        </is>
      </c>
    </row>
    <row r="68" ht="21" customHeight="1">
      <c r="B68" s="85" t="inlineStr">
        <is>
          <t>AI đã hỗ trợ như thế nào?</t>
        </is>
      </c>
      <c r="C68" s="62" t="n"/>
      <c r="D68" s="61" t="n"/>
      <c r="E68" s="86" t="inlineStr">
        <is>
          <t>ChatGPT hỗ trợ cấu trúc custom hook và error handling pattern, giúp code module hóa và dễ test hơn.</t>
        </is>
      </c>
    </row>
    <row r="69" ht="36" customHeight="1">
      <c r="B69" s="85" t="inlineStr">
        <is>
          <t>AI sai hoặc thiếu ở đâu? (*)</t>
        </is>
      </c>
      <c r="C69" s="62" t="n"/>
      <c r="D69" s="61" t="n"/>
      <c r="E69" s="86" t="inlineStr">
        <is>
          <t>1. AI sinh hook thiếu logic auto-logout khi token expired, phải tự thêm decode và kiểm tra expiry.
2. AI đề xuất dùng axios nhưng nhóm đang dùng fetch API, code service layer phải viết lại hoàn toàn.</t>
        </is>
      </c>
    </row>
    <row r="70" ht="21" customHeight="1">
      <c r="B70" s="85" t="inlineStr">
        <is>
          <t>Khó khăn gặp phải</t>
        </is>
      </c>
      <c r="C70" s="62" t="n"/>
      <c r="D70" s="61" t="n"/>
      <c r="E70" s="86" t="inlineStr">
        <is>
          <t>Phải tự nghiên cứu cách kết hợp JWT với React Context. Debug CORS giữa Vite dev server và JSON Server tốn thời gian.</t>
        </is>
      </c>
    </row>
    <row r="71" ht="36" customHeight="1">
      <c r="B71" s="85" t="inlineStr">
        <is>
          <t>Nếu làm lại, sẽ cải thiện điều gì?</t>
        </is>
      </c>
      <c r="C71" s="62" t="n"/>
      <c r="D71" s="61" t="n"/>
      <c r="E71" s="86" t="inlineStr">
        <is>
          <t>Thống nhất HTTP client (fetch vs axios) từ đầu dự án để tránh refactor. Ghi rõ tech stack vào README.</t>
        </is>
      </c>
    </row>
    <row r="72" ht="13.5" customHeight="1">
      <c r="B72" s="87" t="n"/>
      <c r="C72" s="87" t="n"/>
      <c r="D72" s="87" t="n"/>
      <c r="E72" s="87" t="n"/>
      <c r="F72" s="87" t="n"/>
      <c r="G72" s="87" t="n"/>
      <c r="H72" s="87" t="n"/>
      <c r="I72" s="87" t="n"/>
    </row>
    <row r="73" ht="21" customHeight="1">
      <c r="B73" s="84" t="inlineStr">
        <is>
          <t>Thành viên C — Thành viên</t>
        </is>
      </c>
      <c r="C73" s="62" t="n"/>
      <c r="D73" s="62" t="n"/>
      <c r="E73" s="62" t="n"/>
      <c r="F73" s="62" t="n"/>
      <c r="G73" s="62" t="n"/>
      <c r="H73" s="62" t="n"/>
      <c r="I73" s="61" t="n"/>
    </row>
    <row r="74" ht="21" customHeight="1">
      <c r="B74" s="85" t="inlineStr">
        <is>
          <t>Đã làm gì trong tuần này? (*)</t>
        </is>
      </c>
      <c r="C74" s="62" t="n"/>
      <c r="D74" s="61" t="n"/>
      <c r="E74" s="83" t="inlineStr">
        <is>
          <t>Nâng cấp EmployeeList để fetch dữ liệu thực từ JSON Server dùng useEffect. Xử lý loading/error state. Tổng hợp và viết báo cáo tiến độ tuần 03.</t>
        </is>
      </c>
      <c r="F74" s="62" t="n"/>
      <c r="G74" s="62" t="n"/>
      <c r="H74" s="62" t="n"/>
      <c r="I74" s="61" t="n"/>
    </row>
    <row r="75" ht="21" customHeight="1">
      <c r="B75" s="85" t="inlineStr">
        <is>
          <t>AI đã hỗ trợ như thế nào?</t>
        </is>
      </c>
      <c r="C75" s="62" t="n"/>
      <c r="D75" s="61" t="n"/>
      <c r="E75" s="83" t="inlineStr">
        <is>
          <t>ChatGPT hỗ trợ pattern useEffect cho data fetching và cách hiển thị loading spinner và error message rõ ràng.</t>
        </is>
      </c>
      <c r="F75" s="62" t="n"/>
      <c r="G75" s="62" t="n"/>
      <c r="H75" s="62" t="n"/>
      <c r="I75" s="61" t="n"/>
    </row>
    <row r="76" ht="36" customHeight="1">
      <c r="B76" s="85" t="inlineStr">
        <is>
          <t>AI sai hoặc thiếu ở đâu? (*)</t>
        </is>
      </c>
      <c r="C76" s="62" t="n"/>
      <c r="D76" s="61" t="n"/>
      <c r="E76" s="83" t="inlineStr">
        <is>
          <t>1. AI không đề cập cleanup với AbortController khi component unmount, dẫn đến memory leak warning.
2. AI thiếu hướng dẫn xử lý pagination khi danh sách Employee lớn hơn 20 bản ghi.</t>
        </is>
      </c>
      <c r="F76" s="62" t="n"/>
      <c r="G76" s="62" t="n"/>
      <c r="H76" s="62" t="n"/>
      <c r="I76" s="61" t="n"/>
    </row>
    <row r="77" ht="21" customHeight="1">
      <c r="B77" s="85" t="inlineStr">
        <is>
          <t>Khó khăn gặp phải</t>
        </is>
      </c>
      <c r="C77" s="62" t="n"/>
      <c r="D77" s="61" t="n"/>
      <c r="E77" s="83" t="inlineStr">
        <is>
          <t>Hiểu đúng dependency array trong useEffect để tránh infinite loop khi fetch, mất nhiều lần thử.</t>
        </is>
      </c>
      <c r="F77" s="62" t="n"/>
      <c r="G77" s="62" t="n"/>
      <c r="H77" s="62" t="n"/>
      <c r="I77" s="61" t="n"/>
    </row>
    <row r="78" ht="36" customHeight="1">
      <c r="B78" s="85" t="inlineStr">
        <is>
          <t>Nếu làm lại, sẽ cải thiện điều gì?</t>
        </is>
      </c>
      <c r="C78" s="62" t="n"/>
      <c r="D78" s="61" t="n"/>
      <c r="E78" s="83" t="inlineStr">
        <is>
          <t>Đọc React docs về useEffect trước khi hỏi AI để có nền tảng vững. Thêm pagination từ sớm thay vì fetch toàn bộ.</t>
        </is>
      </c>
      <c r="F78" s="62" t="n"/>
      <c r="G78" s="62" t="n"/>
      <c r="H78" s="62" t="n"/>
      <c r="I78" s="61" t="n"/>
    </row>
    <row r="79" ht="13.5" customHeight="1">
      <c r="B79" s="87" t="n"/>
      <c r="C79" s="87" t="n"/>
      <c r="D79" s="87" t="n"/>
      <c r="E79" s="87" t="n"/>
      <c r="F79" s="87" t="n"/>
      <c r="G79" s="87" t="n"/>
      <c r="H79" s="87" t="n"/>
      <c r="I79" s="87" t="n"/>
    </row>
    <row r="80" ht="21" customHeight="1">
      <c r="B80" s="84" t="inlineStr">
        <is>
          <t>Thành viên D — Thành viên</t>
        </is>
      </c>
      <c r="C80" s="62" t="n"/>
      <c r="D80" s="62" t="n"/>
      <c r="E80" s="62" t="n"/>
      <c r="F80" s="62" t="n"/>
      <c r="G80" s="62" t="n"/>
      <c r="H80" s="62" t="n"/>
      <c r="I80" s="61" t="n"/>
    </row>
    <row r="81" ht="21" customHeight="1">
      <c r="B81" s="85" t="inlineStr">
        <is>
          <t>Đã làm gì trong tuần này? (*)</t>
        </is>
      </c>
      <c r="C81" s="62" t="n"/>
      <c r="D81" s="61" t="n"/>
      <c r="E81" s="83" t="inlineStr">
        <is>
          <t>Thiết kế và cập nhật mockup Employee Details Screen, Create Employee Form theo UC10, UC11, UC12 trong RDS. Review UI với nhóm.</t>
        </is>
      </c>
      <c r="F81" s="62" t="n"/>
      <c r="G81" s="62" t="n"/>
      <c r="H81" s="62" t="n"/>
      <c r="I81" s="61" t="n"/>
    </row>
    <row r="82" ht="21" customHeight="1">
      <c r="B82" s="85" t="inlineStr">
        <is>
          <t>AI đã hỗ trợ như thế nào?</t>
        </is>
      </c>
      <c r="C82" s="62" t="n"/>
      <c r="D82" s="61" t="n"/>
      <c r="E82" s="83" t="inlineStr">
        <is>
          <t>Google Stitch AI hỗ trợ tạo form layout nhanh và đề xuất UX pattern cho form có nhiều field bắt buộc.</t>
        </is>
      </c>
      <c r="F82" s="62" t="n"/>
      <c r="G82" s="62" t="n"/>
      <c r="H82" s="62" t="n"/>
      <c r="I82" s="61" t="n"/>
    </row>
    <row r="83" ht="36" customHeight="1">
      <c r="B83" s="85" t="inlineStr">
        <is>
          <t>AI sai hoặc thiếu ở đâu? (*)</t>
        </is>
      </c>
      <c r="C83" s="62" t="n"/>
      <c r="D83" s="61" t="n"/>
      <c r="E83" s="83" t="inlineStr">
        <is>
          <t>1. AI bỏ sót trường nationalId và address bắt buộc theo RDS UC10, phải bổ sung thủ công sau.
2. AI đề xuất UI pattern phân quyền màn hình không đúng với HR/Employee role trong RDS, phải redesign.</t>
        </is>
      </c>
      <c r="F83" s="62" t="n"/>
      <c r="G83" s="62" t="n"/>
      <c r="H83" s="62" t="n"/>
      <c r="I83" s="61" t="n"/>
    </row>
    <row r="84" ht="21" customHeight="1">
      <c r="B84" s="85" t="inlineStr">
        <is>
          <t>Khó khăn gặp phải</t>
        </is>
      </c>
      <c r="C84" s="62" t="n"/>
      <c r="D84" s="61" t="n"/>
      <c r="E84" s="83" t="inlineStr">
        <is>
          <t>Đối chiếu mockup với RDS Design Specifications tốn nhiều thời gian, dễ bỏ sót field khi không đọc kỹ UC.</t>
        </is>
      </c>
      <c r="F84" s="62" t="n"/>
      <c r="G84" s="62" t="n"/>
      <c r="H84" s="62" t="n"/>
      <c r="I84" s="61" t="n"/>
    </row>
    <row r="85" ht="36" customHeight="1">
      <c r="B85" s="85" t="inlineStr">
        <is>
          <t>Nếu làm lại, sẽ cải thiện điều gì?</t>
        </is>
      </c>
      <c r="C85" s="62" t="n"/>
      <c r="D85" s="61" t="n"/>
      <c r="E85" s="83" t="inlineStr">
        <is>
          <t>Đọc kỹ phần Design Specifications và Use Cases trong RDS trước khi thiết kế. Dùng checklist theo từng UC.</t>
        </is>
      </c>
      <c r="F85" s="62" t="n"/>
      <c r="G85" s="62" t="n"/>
      <c r="H85" s="62" t="n"/>
      <c r="I85" s="61" t="n"/>
    </row>
    <row r="86" ht="13.5" customHeight="1">
      <c r="B86" s="87" t="n"/>
      <c r="C86" s="87" t="n"/>
      <c r="D86" s="87" t="n"/>
      <c r="E86" s="87" t="n"/>
      <c r="F86" s="87" t="n"/>
      <c r="G86" s="87" t="n"/>
      <c r="H86" s="87" t="n"/>
      <c r="I86" s="87" t="n"/>
    </row>
    <row r="87" ht="21" customHeight="1">
      <c r="B87" s="84" t="inlineStr">
        <is>
          <t>Thành viên E — Thành viên</t>
        </is>
      </c>
      <c r="C87" s="62" t="n"/>
      <c r="D87" s="62" t="n"/>
      <c r="E87" s="62" t="n"/>
      <c r="F87" s="62" t="n"/>
      <c r="G87" s="62" t="n"/>
      <c r="H87" s="62" t="n"/>
      <c r="I87" s="61" t="n"/>
    </row>
    <row r="88" ht="36" customHeight="1">
      <c r="B88" s="85" t="inlineStr">
        <is>
          <t>Đã làm gì trong tuần này? (*)</t>
        </is>
      </c>
      <c r="C88" s="62" t="n"/>
      <c r="D88" s="61" t="n"/>
      <c r="E88" s="83" t="inlineStr">
        <is>
          <t>Mở rộng db.json với dữ liệu mẫu đầy đủ cho Employee, Attendance, Payroll có liên kết khóa ngoại. Hỗ trợ tích hợp API giữa các component. Kiểm thử luồng giao diện tuần 03.</t>
        </is>
      </c>
      <c r="F88" s="62" t="n"/>
      <c r="G88" s="62" t="n"/>
      <c r="H88" s="62" t="n"/>
      <c r="I88" s="61" t="n"/>
    </row>
    <row r="89" ht="21" customHeight="1">
      <c r="B89" s="85" t="inlineStr">
        <is>
          <t>AI đã hỗ trợ như thế nào?</t>
        </is>
      </c>
      <c r="C89" s="62" t="n"/>
      <c r="D89" s="61" t="n"/>
      <c r="E89" s="83" t="inlineStr">
        <is>
          <t>ChatGPT hỗ trợ sinh dữ liệu mẫu có liên kết và gợi ý cách tổ chức db.json theo module, tiết kiệm thời gian.</t>
        </is>
      </c>
      <c r="F89" s="62" t="n"/>
      <c r="G89" s="62" t="n"/>
      <c r="H89" s="62" t="n"/>
      <c r="I89" s="61" t="n"/>
    </row>
    <row r="90" ht="36" customHeight="1">
      <c r="B90" s="85" t="inlineStr">
        <is>
          <t>AI sai hoặc thiếu ở đâu? (*)</t>
        </is>
      </c>
      <c r="C90" s="62" t="n"/>
      <c r="D90" s="61" t="n"/>
      <c r="E90" s="83" t="inlineStr">
        <is>
          <t>1. AI sinh dữ liệu Attendance thiếu trường workingShiftId, phải bổ sung thủ công để khớp ERD.
2. AI không biết cấu trúc thư mục thực tế nên đề xuất đường dẫn import service sai, phải sửa lại.</t>
        </is>
      </c>
      <c r="F90" s="62" t="n"/>
      <c r="G90" s="62" t="n"/>
      <c r="H90" s="62" t="n"/>
      <c r="I90" s="61" t="n"/>
    </row>
    <row r="91" ht="21" customHeight="1">
      <c r="B91" s="85" t="inlineStr">
        <is>
          <t>Khó khăn gặp phải</t>
        </is>
      </c>
      <c r="C91" s="62" t="n"/>
      <c r="D91" s="61" t="n"/>
      <c r="E91" s="83" t="inlineStr">
        <is>
          <t>Dữ liệu mẫu phức tạp với nhiều quan hệ bảng, dễ sai khóa ngoại dẫn đến lỗi khi fetch.</t>
        </is>
      </c>
      <c r="F91" s="62" t="n"/>
      <c r="G91" s="62" t="n"/>
      <c r="H91" s="62" t="n"/>
      <c r="I91" s="61" t="n"/>
    </row>
    <row r="92" ht="36" customHeight="1">
      <c r="B92" s="85" t="inlineStr">
        <is>
          <t>Nếu làm lại, sẽ cải thiện điều gì?</t>
        </is>
      </c>
      <c r="C92" s="62" t="n"/>
      <c r="D92" s="61" t="n"/>
      <c r="E92" s="83" t="inlineStr">
        <is>
          <t>Tạo file schema reference từ ERD trước khi yêu cầu AI sinh data. Validate dữ liệu mẫu theo ERD ngay sau khi sinh xong.</t>
        </is>
      </c>
      <c r="F92" s="62" t="n"/>
      <c r="G92" s="62" t="n"/>
      <c r="H92" s="62" t="n"/>
      <c r="I92" s="61" t="n"/>
    </row>
    <row r="93" ht="13.5" customHeight="1">
      <c r="B93" s="87" t="n"/>
      <c r="C93" s="87" t="n"/>
      <c r="D93" s="87" t="n"/>
      <c r="E93" s="87" t="n"/>
      <c r="F93" s="87" t="n"/>
      <c r="G93" s="87" t="n"/>
      <c r="H93" s="87" t="n"/>
      <c r="I93" s="87" t="n"/>
    </row>
    <row r="94" ht="21" customHeight="1">
      <c r="B94" s="79" t="inlineStr">
        <is>
          <t>FER202  |  Week 03  |  FPT University — Điền xong nhớ Ctrl+S để lưu!</t>
        </is>
      </c>
      <c r="C94" s="62" t="n"/>
      <c r="D94" s="62" t="n"/>
      <c r="E94" s="62" t="n"/>
      <c r="F94" s="62" t="n"/>
      <c r="G94" s="62" t="n"/>
      <c r="H94" s="62" t="n"/>
      <c r="I94" s="61" t="n"/>
    </row>
  </sheetData>
  <mergeCells count="114">
    <mergeCell ref="B42:D42"/>
    <mergeCell ref="B60:D60"/>
    <mergeCell ref="E68:I68"/>
    <mergeCell ref="E55:I55"/>
    <mergeCell ref="E52:I52"/>
    <mergeCell ref="E67:I67"/>
    <mergeCell ref="B44:D44"/>
    <mergeCell ref="B53:D53"/>
    <mergeCell ref="E39:I39"/>
    <mergeCell ref="E48:I48"/>
    <mergeCell ref="B84:D84"/>
    <mergeCell ref="B92:D92"/>
    <mergeCell ref="D30:F30"/>
    <mergeCell ref="E40:I40"/>
    <mergeCell ref="B17:I17"/>
    <mergeCell ref="B73:I73"/>
    <mergeCell ref="D29:F29"/>
    <mergeCell ref="D23:F2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D25:F25"/>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D21:F21"/>
    <mergeCell ref="E47:I47"/>
    <mergeCell ref="B48:D48"/>
    <mergeCell ref="E56:I56"/>
    <mergeCell ref="E43:I43"/>
    <mergeCell ref="B66:I66"/>
    <mergeCell ref="B78:D78"/>
    <mergeCell ref="E88:I88"/>
    <mergeCell ref="E82:I82"/>
    <mergeCell ref="B49:D49"/>
    <mergeCell ref="E60:I60"/>
    <mergeCell ref="B51:D51"/>
    <mergeCell ref="D33:F33"/>
    <mergeCell ref="E74:I74"/>
    <mergeCell ref="B63:D63"/>
    <mergeCell ref="B41:D41"/>
    <mergeCell ref="B38:I38"/>
    <mergeCell ref="B50:D50"/>
    <mergeCell ref="E45:I45"/>
    <mergeCell ref="B91:D91"/>
    <mergeCell ref="B24:I24"/>
    <mergeCell ref="D22:F22"/>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D26:F26"/>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2:I94"/>
  <sheetViews>
    <sheetView showGridLines="0" tabSelected="0" topLeftCell="A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04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I94"/>
  <sheetViews>
    <sheetView showGridLines="0" tabSelected="0" topLeftCell="A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05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B2:I94"/>
  <sheetViews>
    <sheetView showGridLines="0" tabSelected="0" topLeftCell="A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06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I94"/>
  <sheetViews>
    <sheetView showGridLines="0" tabSelected="0" topLeftCell="A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07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2:I94"/>
  <sheetViews>
    <sheetView showGridLines="0" tabSelected="0" topLeftCell="A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08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2:I94"/>
  <sheetViews>
    <sheetView showGridLines="0" tabSelected="0" topLeftCell="E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09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B2:I94"/>
  <sheetViews>
    <sheetView showGridLines="0" tabSelected="0" topLeftCell="E69" zoomScaleNormal="100" workbookViewId="0">
      <selection activeCell="E71" sqref="E71"/>
    </sheetView>
  </sheetViews>
  <sheetFormatPr baseColWidth="8" defaultColWidth="8.6328125" defaultRowHeight="14.5"/>
  <cols>
    <col width="3" customWidth="1" min="1" max="1"/>
    <col width="12" customWidth="1" min="2" max="2"/>
    <col width="6" customWidth="1" min="3" max="3"/>
    <col width="12.7265625" customWidth="1" min="4" max="4"/>
    <col width="32" customWidth="1" min="5" max="5"/>
    <col width="20" customWidth="1" min="6" max="6"/>
    <col width="12" customWidth="1" min="7" max="7"/>
    <col width="28" customWidth="1" min="8" max="8"/>
    <col width="22" customWidth="1" min="9" max="9"/>
  </cols>
  <sheetData>
    <row r="1" ht="13.5" customHeight="1"/>
    <row r="2" ht="33.75" customHeight="1">
      <c r="B2" s="25" t="inlineStr">
        <is>
          <t>WEEK 01 — Nhật ký AI &amp; Project</t>
        </is>
      </c>
      <c r="C2" s="62" t="n"/>
      <c r="D2" s="62" t="n"/>
      <c r="E2" s="62" t="n"/>
      <c r="F2" s="62" t="n"/>
      <c r="G2" s="62" t="n"/>
      <c r="H2" s="62" t="n"/>
      <c r="I2" s="61" t="n"/>
    </row>
    <row r="3" ht="15.75" customHeight="1">
      <c r="B3" s="26" t="inlineStr">
        <is>
          <t>Mỗi thành viên dùng ký hiệu A/B/C/D/E ở cột TV.  Cột (*) bắt buộc điền.  Lưu file sau khi điền xong.</t>
        </is>
      </c>
    </row>
    <row r="5" ht="21.75" customHeight="1">
      <c r="B5" s="27" t="inlineStr">
        <is>
          <t>📋  BẢNG 1: Nhật ký sử dụng AI  (AI_AUDIT_LOG)</t>
        </is>
      </c>
      <c r="C5" s="62" t="n"/>
      <c r="D5" s="62" t="n"/>
      <c r="E5" s="62" t="n"/>
      <c r="F5" s="62" t="n"/>
      <c r="G5" s="62" t="n"/>
      <c r="H5" s="62" t="n"/>
      <c r="I5" s="61" t="n"/>
    </row>
    <row r="6" ht="13.5" customHeight="1">
      <c r="B6" s="19" t="inlineStr">
        <is>
          <t>Ghi mỗi lần dùng AI vào 1 dòng.  Mức hỗ trợ: Low = AI gợi ý nhỏ  |  Medium = AI đóng góp nhiều  |  High = AI tạo phần lớn</t>
        </is>
      </c>
    </row>
    <row r="7" ht="19.5" customHeight="1">
      <c r="B7" s="5" t="inlineStr">
        <is>
          <t>Ngày (*)</t>
        </is>
      </c>
      <c r="C7" s="5" t="inlineStr">
        <is>
          <t>TV (*)</t>
        </is>
      </c>
      <c r="D7" s="5" t="inlineStr">
        <is>
          <t>Công cụ AI (*)</t>
        </is>
      </c>
      <c r="E7" s="5" t="inlineStr">
        <is>
          <t>Mục đích sử dụng (*)</t>
        </is>
      </c>
      <c r="F7" s="5" t="inlineStr">
        <is>
          <t>File ảnh hưởng</t>
        </is>
      </c>
      <c r="G7" s="5" t="inlineStr">
        <is>
          <t>Mức hỗ trợ (*)</t>
        </is>
      </c>
      <c r="H7" s="5" t="inlineStr">
        <is>
          <t>Đã chỉnh sửa gì?</t>
        </is>
      </c>
      <c r="I7" s="5" t="inlineStr">
        <is>
          <t>Kiểm chứng</t>
        </is>
      </c>
    </row>
    <row r="8" ht="18" customHeight="1">
      <c r="B8" s="21" t="n"/>
      <c r="C8" s="21" t="n"/>
      <c r="D8" s="21" t="n"/>
      <c r="E8" s="21" t="n"/>
      <c r="F8" s="21" t="n"/>
      <c r="G8" s="21" t="n"/>
      <c r="H8" s="21" t="n"/>
      <c r="I8" s="21" t="n"/>
    </row>
    <row r="9" ht="18" customHeight="1">
      <c r="B9" s="21" t="n"/>
      <c r="C9" s="21" t="n"/>
      <c r="D9" s="21" t="n"/>
      <c r="E9" s="21" t="n"/>
      <c r="F9" s="21" t="n"/>
      <c r="G9" s="21" t="n"/>
      <c r="H9" s="21" t="n"/>
      <c r="I9" s="21" t="n"/>
    </row>
    <row r="10" ht="18" customHeight="1">
      <c r="B10" s="21" t="n"/>
      <c r="C10" s="21" t="n"/>
      <c r="D10" s="21" t="n"/>
      <c r="E10" s="21" t="n"/>
      <c r="F10" s="21" t="n"/>
      <c r="G10" s="21" t="n"/>
      <c r="H10" s="21" t="n"/>
      <c r="I10" s="21" t="n"/>
    </row>
    <row r="11" ht="18" customHeight="1">
      <c r="B11" s="21" t="n"/>
      <c r="C11" s="21" t="n"/>
      <c r="D11" s="21" t="n"/>
      <c r="E11" s="21" t="n"/>
      <c r="F11" s="21" t="n"/>
      <c r="G11" s="21" t="n"/>
      <c r="H11" s="21" t="n"/>
      <c r="I11" s="21" t="n"/>
    </row>
    <row r="12" ht="18" customHeight="1">
      <c r="B12" s="21" t="n"/>
      <c r="C12" s="21" t="n"/>
      <c r="D12" s="21" t="n"/>
      <c r="E12" s="21" t="n"/>
      <c r="F12" s="21" t="n"/>
      <c r="G12" s="21" t="n"/>
      <c r="H12" s="21" t="n"/>
      <c r="I12" s="21" t="n"/>
    </row>
    <row r="13" ht="18" customHeight="1">
      <c r="B13" s="21" t="n"/>
      <c r="C13" s="21" t="n"/>
      <c r="D13" s="21" t="n"/>
      <c r="E13" s="21" t="n"/>
      <c r="F13" s="21" t="n"/>
      <c r="G13" s="21" t="n"/>
      <c r="H13" s="21" t="n"/>
      <c r="I13" s="21" t="n"/>
    </row>
    <row r="14" ht="18" customHeight="1">
      <c r="B14" s="21" t="n"/>
      <c r="C14" s="21" t="n"/>
      <c r="D14" s="21" t="n"/>
      <c r="E14" s="21" t="n"/>
      <c r="F14" s="21" t="n"/>
      <c r="G14" s="21" t="n"/>
      <c r="H14" s="21" t="n"/>
      <c r="I14" s="21" t="n"/>
    </row>
    <row r="15" ht="18" customHeight="1">
      <c r="B15" s="21" t="n"/>
      <c r="C15" s="21" t="n"/>
      <c r="D15" s="21" t="n"/>
      <c r="E15" s="21" t="n"/>
      <c r="F15" s="21" t="n"/>
      <c r="G15" s="21" t="n"/>
      <c r="H15" s="21" t="n"/>
      <c r="I15" s="21" t="n"/>
    </row>
    <row r="17" ht="21.75" customHeight="1">
      <c r="B17" s="28" t="inlineStr">
        <is>
          <t>📝  BẢNG 2: Nhật ký thay đổi project  (CHANGELOG)</t>
        </is>
      </c>
      <c r="C17" s="62" t="n"/>
      <c r="D17" s="62" t="n"/>
      <c r="E17" s="62" t="n"/>
      <c r="F17" s="62" t="n"/>
      <c r="G17" s="62" t="n"/>
      <c r="H17" s="62" t="n"/>
      <c r="I17" s="61" t="n"/>
    </row>
    <row r="18" ht="13.5" customHeight="1">
      <c r="B18" s="19" t="inlineStr">
        <is>
          <t>Added = thêm mới  |  Changed = cải tiến  |  Fixed = sửa lỗi  |  Removed = xóa bỏ</t>
        </is>
      </c>
    </row>
    <row r="19" ht="19.5" customHeight="1">
      <c r="B19" s="29" t="inlineStr">
        <is>
          <t>Loại (*)</t>
        </is>
      </c>
      <c r="C19" s="29" t="inlineStr">
        <is>
          <t>TV (*)</t>
        </is>
      </c>
      <c r="D19" s="29" t="inlineStr">
        <is>
          <t>Mô tả thay đổi (*)</t>
        </is>
      </c>
      <c r="E19" s="62" t="n"/>
      <c r="F19" s="61" t="n"/>
      <c r="G19" s="29" t="inlineStr">
        <is>
          <t>File liên quan</t>
        </is>
      </c>
      <c r="H19" s="61" t="n"/>
      <c r="I19" s="29" t="inlineStr">
        <is>
          <t>Ghi chú</t>
        </is>
      </c>
    </row>
    <row r="20" ht="15.75" customHeight="1">
      <c r="B20" s="22" t="inlineStr">
        <is>
          <t>Added — Thêm mới</t>
        </is>
      </c>
      <c r="C20" s="62" t="n"/>
      <c r="D20" s="62" t="n"/>
      <c r="E20" s="62" t="n"/>
      <c r="F20" s="62" t="n"/>
      <c r="G20" s="62" t="n"/>
      <c r="H20" s="62" t="n"/>
      <c r="I20" s="61" t="n"/>
    </row>
    <row r="21" ht="18" customHeight="1">
      <c r="B21" s="21" t="n"/>
      <c r="C21" s="21" t="n"/>
      <c r="D21" s="21" t="n"/>
      <c r="E21" s="21" t="n"/>
      <c r="F21" s="21" t="n"/>
      <c r="G21" s="21" t="n"/>
      <c r="H21" s="21" t="n"/>
      <c r="I21" s="21" t="n"/>
    </row>
    <row r="22" ht="18" customHeight="1">
      <c r="B22" s="21" t="n"/>
      <c r="C22" s="21" t="n"/>
      <c r="D22" s="21" t="n"/>
      <c r="E22" s="21" t="n"/>
      <c r="F22" s="21" t="n"/>
      <c r="G22" s="21" t="n"/>
      <c r="H22" s="21" t="n"/>
      <c r="I22" s="21" t="n"/>
    </row>
    <row r="23" ht="18" customHeight="1">
      <c r="B23" s="21" t="n"/>
      <c r="C23" s="21" t="n"/>
      <c r="D23" s="21" t="n"/>
      <c r="E23" s="21" t="n"/>
      <c r="F23" s="21" t="n"/>
      <c r="G23" s="21" t="n"/>
      <c r="H23" s="21" t="n"/>
      <c r="I23" s="21" t="n"/>
    </row>
    <row r="24" ht="15.75" customHeight="1">
      <c r="B24" s="22" t="inlineStr">
        <is>
          <t>Changed — Cải tiến</t>
        </is>
      </c>
      <c r="C24" s="62" t="n"/>
      <c r="D24" s="62" t="n"/>
      <c r="E24" s="62" t="n"/>
      <c r="F24" s="62" t="n"/>
      <c r="G24" s="62" t="n"/>
      <c r="H24" s="62" t="n"/>
      <c r="I24" s="61" t="n"/>
    </row>
    <row r="25" ht="18" customHeight="1">
      <c r="B25" s="21" t="n"/>
      <c r="C25" s="21" t="n"/>
      <c r="D25" s="21" t="n"/>
      <c r="E25" s="21" t="n"/>
      <c r="F25" s="21" t="n"/>
      <c r="G25" s="21" t="n"/>
      <c r="H25" s="21" t="n"/>
      <c r="I25" s="21" t="n"/>
    </row>
    <row r="26" ht="18" customHeight="1">
      <c r="B26" s="21" t="n"/>
      <c r="C26" s="21" t="n"/>
      <c r="D26" s="21" t="n"/>
      <c r="E26" s="21" t="n"/>
      <c r="F26" s="21" t="n"/>
      <c r="G26" s="21" t="n"/>
      <c r="H26" s="21" t="n"/>
      <c r="I26" s="21" t="n"/>
    </row>
    <row r="27" ht="18" customHeight="1">
      <c r="B27" s="21" t="n"/>
      <c r="C27" s="21" t="n"/>
      <c r="D27" s="21" t="n"/>
      <c r="E27" s="21" t="n"/>
      <c r="F27" s="21" t="n"/>
      <c r="G27" s="21" t="n"/>
      <c r="H27" s="21" t="n"/>
      <c r="I27" s="21" t="n"/>
    </row>
    <row r="28" ht="15.75" customHeight="1">
      <c r="B28" s="22" t="inlineStr">
        <is>
          <t>Fixed — Sửa lỗi</t>
        </is>
      </c>
      <c r="C28" s="62" t="n"/>
      <c r="D28" s="62" t="n"/>
      <c r="E28" s="62" t="n"/>
      <c r="F28" s="62" t="n"/>
      <c r="G28" s="62" t="n"/>
      <c r="H28" s="62" t="n"/>
      <c r="I28" s="61" t="n"/>
    </row>
    <row r="29" ht="18" customHeight="1">
      <c r="B29" s="21" t="n"/>
      <c r="C29" s="21" t="n"/>
      <c r="D29" s="21" t="n"/>
      <c r="E29" s="21" t="n"/>
      <c r="F29" s="21" t="n"/>
      <c r="G29" s="21" t="n"/>
      <c r="H29" s="21" t="n"/>
      <c r="I29" s="21" t="n"/>
    </row>
    <row r="30" ht="18" customHeight="1">
      <c r="B30" s="21" t="n"/>
      <c r="C30" s="21" t="n"/>
      <c r="D30" s="21" t="n"/>
      <c r="E30" s="21" t="n"/>
      <c r="F30" s="21" t="n"/>
      <c r="G30" s="21" t="n"/>
      <c r="H30" s="21" t="n"/>
      <c r="I30" s="21" t="n"/>
    </row>
    <row r="31" ht="18" customHeight="1">
      <c r="B31" s="21" t="n"/>
      <c r="C31" s="21" t="n"/>
      <c r="D31" s="21" t="n"/>
      <c r="E31" s="21" t="n"/>
      <c r="F31" s="21" t="n"/>
      <c r="G31" s="21" t="n"/>
      <c r="H31" s="21" t="n"/>
      <c r="I31" s="21" t="n"/>
    </row>
    <row r="32" ht="15.75" customHeight="1">
      <c r="B32" s="22" t="inlineStr">
        <is>
          <t>Removed — Xóa bỏ</t>
        </is>
      </c>
      <c r="C32" s="62" t="n"/>
      <c r="D32" s="62" t="n"/>
      <c r="E32" s="62" t="n"/>
      <c r="F32" s="62" t="n"/>
      <c r="G32" s="62" t="n"/>
      <c r="H32" s="62" t="n"/>
      <c r="I32" s="61" t="n"/>
    </row>
    <row r="33" ht="18" customHeight="1">
      <c r="B33" s="21" t="n"/>
      <c r="C33" s="21" t="n"/>
      <c r="D33" s="21" t="n"/>
      <c r="E33" s="21" t="n"/>
      <c r="F33" s="21" t="n"/>
      <c r="G33" s="21" t="n"/>
      <c r="H33" s="21" t="n"/>
      <c r="I33" s="21" t="n"/>
    </row>
    <row r="34" ht="18" customHeight="1">
      <c r="B34" s="21" t="n"/>
      <c r="C34" s="21" t="n"/>
      <c r="D34" s="21" t="n"/>
      <c r="E34" s="21" t="n"/>
      <c r="F34" s="21" t="n"/>
      <c r="G34" s="21" t="n"/>
      <c r="H34" s="21" t="n"/>
      <c r="I34" s="21" t="n"/>
    </row>
    <row r="35" ht="18" customHeight="1">
      <c r="B35" s="21" t="n"/>
      <c r="C35" s="21" t="n"/>
      <c r="D35" s="21" t="n"/>
      <c r="E35" s="21" t="n"/>
      <c r="F35" s="21" t="n"/>
      <c r="G35" s="21" t="n"/>
      <c r="H35" s="21" t="n"/>
      <c r="I35" s="21" t="n"/>
    </row>
    <row r="37" ht="21.75" customHeight="1">
      <c r="B37" s="23" t="inlineStr">
        <is>
          <t>💡  BẢNG 3: Nhật ký Prompt AI  (PROMPTS)</t>
        </is>
      </c>
      <c r="C37" s="62" t="n"/>
      <c r="D37" s="62" t="n"/>
      <c r="E37" s="62" t="n"/>
      <c r="F37" s="62" t="n"/>
      <c r="G37" s="62" t="n"/>
      <c r="H37" s="62" t="n"/>
      <c r="I37" s="61" t="n"/>
    </row>
    <row r="38" ht="13.5" customHeight="1">
      <c r="B38" s="19" t="inlineStr">
        <is>
          <t>Mỗi prompt quan trọng ghi 1 block gồm 4 dòng. Ghi rõ prompt đã dùng, kết quả, cách nhóm sử dụng, và kiểm chứng.</t>
        </is>
      </c>
    </row>
    <row r="39" ht="19.5" customHeight="1">
      <c r="B39" s="24" t="inlineStr">
        <is>
          <t>Prompt #</t>
        </is>
      </c>
      <c r="C39" s="24" t="inlineStr">
        <is>
          <t>TV</t>
        </is>
      </c>
      <c r="D39" s="24" t="inlineStr">
        <is>
          <t>Công cụ AI</t>
        </is>
      </c>
      <c r="E39" s="24" t="inlineStr">
        <is>
          <t>Prompt đã dùng (nguyên văn) (*)</t>
        </is>
      </c>
      <c r="F39" s="62" t="n"/>
      <c r="G39" s="62" t="n"/>
      <c r="H39" s="62" t="n"/>
      <c r="I39" s="61" t="n"/>
    </row>
    <row r="40" ht="21.75" customHeight="1">
      <c r="B40" s="20" t="inlineStr">
        <is>
          <t>Prompt #1</t>
        </is>
      </c>
      <c r="C40" s="62" t="n"/>
      <c r="D40" s="61" t="n"/>
      <c r="E40" s="21" t="n"/>
      <c r="F40" s="62" t="n"/>
      <c r="G40" s="62" t="n"/>
      <c r="H40" s="62" t="n"/>
      <c r="I40" s="61" t="n"/>
    </row>
    <row r="41" ht="21.75" customHeight="1">
      <c r="B41" s="14" t="inlineStr">
        <is>
          <t>Kết quả AI trả về và vấn đề gặp phải:</t>
        </is>
      </c>
      <c r="C41" s="62" t="n"/>
      <c r="D41" s="61" t="n"/>
      <c r="E41" s="21" t="n"/>
      <c r="F41" s="62" t="n"/>
      <c r="G41" s="62" t="n"/>
      <c r="H41" s="62" t="n"/>
      <c r="I41" s="61" t="n"/>
    </row>
    <row r="42" ht="21.75" customHeight="1">
      <c r="B42" s="14" t="inlineStr">
        <is>
          <t>Nhóm đã chỉnh sửa / sử dụng như thế nào:</t>
        </is>
      </c>
      <c r="C42" s="62" t="n"/>
      <c r="D42" s="61" t="n"/>
      <c r="E42" s="21" t="n"/>
      <c r="F42" s="62" t="n"/>
      <c r="G42" s="62" t="n"/>
      <c r="H42" s="62" t="n"/>
      <c r="I42" s="61" t="n"/>
    </row>
    <row r="43" ht="21.75" customHeight="1">
      <c r="B43" s="14" t="inlineStr">
        <is>
          <t>Kiểm chứng (test pass/fail, kết quả đúng không):</t>
        </is>
      </c>
      <c r="C43" s="62" t="n"/>
      <c r="D43" s="61" t="n"/>
      <c r="E43" s="21" t="n"/>
      <c r="F43" s="62" t="n"/>
      <c r="G43" s="62" t="n"/>
      <c r="H43" s="62" t="n"/>
      <c r="I43" s="61" t="n"/>
    </row>
    <row r="44" ht="21.75" customHeight="1">
      <c r="B44" s="20" t="inlineStr">
        <is>
          <t>Prompt #2</t>
        </is>
      </c>
      <c r="C44" s="62" t="n"/>
      <c r="D44" s="61" t="n"/>
      <c r="E44" s="21" t="n"/>
      <c r="F44" s="62" t="n"/>
      <c r="G44" s="62" t="n"/>
      <c r="H44" s="62" t="n"/>
      <c r="I44" s="61" t="n"/>
    </row>
    <row r="45" ht="21.75" customHeight="1">
      <c r="B45" s="14" t="inlineStr">
        <is>
          <t>Kết quả AI trả về và vấn đề gặp phải:</t>
        </is>
      </c>
      <c r="C45" s="62" t="n"/>
      <c r="D45" s="61" t="n"/>
      <c r="E45" s="21" t="n"/>
      <c r="F45" s="62" t="n"/>
      <c r="G45" s="62" t="n"/>
      <c r="H45" s="62" t="n"/>
      <c r="I45" s="61" t="n"/>
    </row>
    <row r="46" ht="21.75" customHeight="1">
      <c r="B46" s="14" t="inlineStr">
        <is>
          <t>Nhóm đã chỉnh sửa / sử dụng như thế nào:</t>
        </is>
      </c>
      <c r="C46" s="62" t="n"/>
      <c r="D46" s="61" t="n"/>
      <c r="E46" s="21" t="n"/>
      <c r="F46" s="62" t="n"/>
      <c r="G46" s="62" t="n"/>
      <c r="H46" s="62" t="n"/>
      <c r="I46" s="61" t="n"/>
    </row>
    <row r="47" ht="21.75" customHeight="1">
      <c r="B47" s="14" t="inlineStr">
        <is>
          <t>Kiểm chứng (test pass/fail, kết quả đúng không):</t>
        </is>
      </c>
      <c r="C47" s="62" t="n"/>
      <c r="D47" s="61" t="n"/>
      <c r="E47" s="21" t="n"/>
      <c r="F47" s="62" t="n"/>
      <c r="G47" s="62" t="n"/>
      <c r="H47" s="62" t="n"/>
      <c r="I47" s="61" t="n"/>
    </row>
    <row r="48" ht="21.75" customHeight="1">
      <c r="B48" s="20" t="inlineStr">
        <is>
          <t>Prompt #3</t>
        </is>
      </c>
      <c r="C48" s="62" t="n"/>
      <c r="D48" s="61" t="n"/>
      <c r="E48" s="21" t="n"/>
      <c r="F48" s="62" t="n"/>
      <c r="G48" s="62" t="n"/>
      <c r="H48" s="62" t="n"/>
      <c r="I48" s="61" t="n"/>
    </row>
    <row r="49" ht="21.75" customHeight="1">
      <c r="B49" s="14" t="inlineStr">
        <is>
          <t>Kết quả AI trả về và vấn đề gặp phải:</t>
        </is>
      </c>
      <c r="C49" s="62" t="n"/>
      <c r="D49" s="61" t="n"/>
      <c r="E49" s="21" t="n"/>
      <c r="F49" s="62" t="n"/>
      <c r="G49" s="62" t="n"/>
      <c r="H49" s="62" t="n"/>
      <c r="I49" s="61" t="n"/>
    </row>
    <row r="50" ht="21.75" customHeight="1">
      <c r="B50" s="14" t="inlineStr">
        <is>
          <t>Nhóm đã chỉnh sửa / sử dụng như thế nào:</t>
        </is>
      </c>
      <c r="C50" s="62" t="n"/>
      <c r="D50" s="61" t="n"/>
      <c r="E50" s="21" t="n"/>
      <c r="F50" s="62" t="n"/>
      <c r="G50" s="62" t="n"/>
      <c r="H50" s="62" t="n"/>
      <c r="I50" s="61" t="n"/>
    </row>
    <row r="51" ht="21.75" customHeight="1">
      <c r="B51" s="14" t="inlineStr">
        <is>
          <t>Kiểm chứng (test pass/fail, kết quả đúng không):</t>
        </is>
      </c>
      <c r="C51" s="62" t="n"/>
      <c r="D51" s="61" t="n"/>
      <c r="E51" s="21" t="n"/>
      <c r="F51" s="62" t="n"/>
      <c r="G51" s="62" t="n"/>
      <c r="H51" s="62" t="n"/>
      <c r="I51" s="61" t="n"/>
    </row>
    <row r="52" ht="21.75" customHeight="1">
      <c r="B52" s="20" t="inlineStr">
        <is>
          <t>Prompt #4</t>
        </is>
      </c>
      <c r="C52" s="62" t="n"/>
      <c r="D52" s="61" t="n"/>
      <c r="E52" s="21" t="n"/>
      <c r="F52" s="62" t="n"/>
      <c r="G52" s="62" t="n"/>
      <c r="H52" s="62" t="n"/>
      <c r="I52" s="61" t="n"/>
    </row>
    <row r="53" ht="21.75" customHeight="1">
      <c r="B53" s="14" t="inlineStr">
        <is>
          <t>Kết quả AI trả về và vấn đề gặp phải:</t>
        </is>
      </c>
      <c r="C53" s="62" t="n"/>
      <c r="D53" s="61" t="n"/>
      <c r="E53" s="21" t="n"/>
      <c r="F53" s="62" t="n"/>
      <c r="G53" s="62" t="n"/>
      <c r="H53" s="62" t="n"/>
      <c r="I53" s="61" t="n"/>
    </row>
    <row r="54" ht="21.75" customHeight="1">
      <c r="B54" s="14" t="inlineStr">
        <is>
          <t>Nhóm đã chỉnh sửa / sử dụng như thế nào:</t>
        </is>
      </c>
      <c r="C54" s="62" t="n"/>
      <c r="D54" s="61" t="n"/>
      <c r="E54" s="21" t="n"/>
      <c r="F54" s="62" t="n"/>
      <c r="G54" s="62" t="n"/>
      <c r="H54" s="62" t="n"/>
      <c r="I54" s="61" t="n"/>
    </row>
    <row r="55" ht="21.75" customHeight="1">
      <c r="B55" s="14" t="inlineStr">
        <is>
          <t>Kiểm chứng (test pass/fail, kết quả đúng không):</t>
        </is>
      </c>
      <c r="C55" s="62" t="n"/>
      <c r="D55" s="61" t="n"/>
      <c r="E55" s="21" t="n"/>
      <c r="F55" s="62" t="n"/>
      <c r="G55" s="62" t="n"/>
      <c r="H55" s="62" t="n"/>
      <c r="I55" s="61" t="n"/>
    </row>
    <row r="56">
      <c r="E56" s="21" t="n"/>
      <c r="F56" s="62" t="n"/>
      <c r="G56" s="62" t="n"/>
      <c r="H56" s="62" t="n"/>
      <c r="I56" s="61" t="n"/>
    </row>
    <row r="57" ht="21.75" customHeight="1">
      <c r="B57" s="18" t="inlineStr">
        <is>
          <t>🪞  BẢNG 4: Suy ngẫm cuối tuần  (REFLECTION)</t>
        </is>
      </c>
      <c r="C57" s="62" t="n"/>
      <c r="D57" s="62" t="n"/>
      <c r="E57" s="62" t="n"/>
      <c r="F57" s="62" t="n"/>
      <c r="G57" s="62" t="n"/>
      <c r="H57" s="62" t="n"/>
      <c r="I57" s="61" t="n"/>
    </row>
    <row r="58" ht="13.5" customHeight="1">
      <c r="B58" s="19" t="inlineStr">
        <is>
          <t>Mỗi thành viên điền 1 block riêng. Mục 'AI sai/thiếu' bắt buộc ≥ 2 ví dụ cụ thể. Viết thành câu đầy đủ.</t>
        </is>
      </c>
    </row>
    <row r="59" ht="18" customHeight="1">
      <c r="B59" s="16" t="inlineStr">
        <is>
          <t>Thành viên A — Trưởng nhóm</t>
        </is>
      </c>
      <c r="C59" s="62" t="n"/>
      <c r="D59" s="62" t="n"/>
      <c r="E59" s="62" t="n"/>
      <c r="F59" s="62" t="n"/>
      <c r="G59" s="62" t="n"/>
      <c r="H59" s="62" t="n"/>
      <c r="I59" s="61" t="n"/>
    </row>
    <row r="60" ht="18" customHeight="1">
      <c r="B60" s="13" t="inlineStr">
        <is>
          <t>Đã làm gì trong tuần này? (*)</t>
        </is>
      </c>
      <c r="C60" s="62" t="n"/>
      <c r="D60" s="61" t="n"/>
      <c r="E60" s="17" t="inlineStr">
        <is>
          <t>💬 Liệt kê cụ thể: tính năng, test case, module, file...</t>
        </is>
      </c>
    </row>
    <row r="61" ht="18" customHeight="1">
      <c r="B61" s="13" t="inlineStr">
        <is>
          <t>AI đã hỗ trợ như thế nào?</t>
        </is>
      </c>
      <c r="C61" s="62" t="n"/>
      <c r="D61" s="61" t="n"/>
      <c r="E61" s="17" t="inlineStr">
        <is>
          <t>💬 Tóm tắt cách dùng AI: tool nào, việc gì, hiệu quả ra sao</t>
        </is>
      </c>
    </row>
    <row r="62" ht="18" customHeight="1">
      <c r="B62" s="13" t="inlineStr">
        <is>
          <t>AI sai hoặc thiếu ở đâu? (*)</t>
        </is>
      </c>
      <c r="C62" s="62" t="n"/>
      <c r="D62" s="61" t="n"/>
      <c r="E62" s="17" t="inlineStr">
        <is>
          <t>💬 ⚠️ Bắt buộc ≥ 2 ví dụ cụ thể về điểm AI chưa đúng/đủ</t>
        </is>
      </c>
    </row>
    <row r="63" ht="18" customHeight="1">
      <c r="B63" s="13" t="inlineStr">
        <is>
          <t>Khó khăn gặp phải</t>
        </is>
      </c>
      <c r="C63" s="62" t="n"/>
      <c r="D63" s="61" t="n"/>
      <c r="E63" s="17" t="inlineStr">
        <is>
          <t>💬 Kỹ thuật, nhóm, công cụ, môi trường...</t>
        </is>
      </c>
    </row>
    <row r="64" ht="18" customHeight="1">
      <c r="B64" s="13" t="inlineStr">
        <is>
          <t>Nếu làm lại, sẽ cải thiện điều gì?</t>
        </is>
      </c>
      <c r="C64" s="62" t="n"/>
      <c r="D64" s="61" t="n"/>
      <c r="E64" s="17" t="inlineStr">
        <is>
          <t>💬 Quy trình, cách dùng AI, phân công nhóm...</t>
        </is>
      </c>
    </row>
    <row r="66" ht="18" customHeight="1">
      <c r="B66" s="16" t="inlineStr">
        <is>
          <t>Thành viên B — Thành viên</t>
        </is>
      </c>
      <c r="C66" s="62" t="n"/>
      <c r="D66" s="62" t="n"/>
      <c r="E66" s="62" t="n"/>
      <c r="F66" s="62" t="n"/>
      <c r="G66" s="62" t="n"/>
      <c r="H66" s="62" t="n"/>
      <c r="I66" s="61" t="n"/>
    </row>
    <row r="67" ht="18" customHeight="1">
      <c r="B67" s="13" t="inlineStr">
        <is>
          <t>Đã làm gì trong tuần này? (*)</t>
        </is>
      </c>
      <c r="C67" s="62" t="n"/>
      <c r="D67" s="61" t="n"/>
      <c r="E67" s="17" t="inlineStr">
        <is>
          <t>💬 Liệt kê cụ thể: tính năng, test case, module, file...</t>
        </is>
      </c>
    </row>
    <row r="68" ht="18" customHeight="1">
      <c r="B68" s="13" t="inlineStr">
        <is>
          <t>AI đã hỗ trợ như thế nào?</t>
        </is>
      </c>
      <c r="C68" s="62" t="n"/>
      <c r="D68" s="61" t="n"/>
      <c r="E68" s="17" t="inlineStr">
        <is>
          <t>💬 Tóm tắt cách dùng AI: tool nào, việc gì, hiệu quả ra sao</t>
        </is>
      </c>
    </row>
    <row r="69" ht="18" customHeight="1">
      <c r="B69" s="13" t="inlineStr">
        <is>
          <t>AI sai hoặc thiếu ở đâu? (*)</t>
        </is>
      </c>
      <c r="C69" s="62" t="n"/>
      <c r="D69" s="61" t="n"/>
      <c r="E69" s="17" t="inlineStr">
        <is>
          <t>💬 ⚠️ Bắt buộc ≥ 2 ví dụ cụ thể về điểm AI chưa đúng/đủ</t>
        </is>
      </c>
    </row>
    <row r="70" ht="18" customHeight="1">
      <c r="B70" s="13" t="inlineStr">
        <is>
          <t>Khó khăn gặp phải</t>
        </is>
      </c>
      <c r="C70" s="62" t="n"/>
      <c r="D70" s="61" t="n"/>
      <c r="E70" s="17" t="inlineStr">
        <is>
          <t>💬 Kỹ thuật, nhóm, công cụ, môi trường...</t>
        </is>
      </c>
    </row>
    <row r="71" ht="18" customHeight="1">
      <c r="B71" s="13" t="inlineStr">
        <is>
          <t>Nếu làm lại, sẽ cải thiện điều gì?</t>
        </is>
      </c>
      <c r="C71" s="62" t="n"/>
      <c r="D71" s="61" t="n"/>
      <c r="E71" s="17" t="inlineStr">
        <is>
          <t>💬 Quy trình, cách dùng AI, phân công nhóm...</t>
        </is>
      </c>
    </row>
    <row r="73" ht="18" customHeight="1">
      <c r="B73" s="16" t="inlineStr">
        <is>
          <t>Thành viên C — Thành viên</t>
        </is>
      </c>
      <c r="C73" s="62" t="n"/>
      <c r="D73" s="62" t="n"/>
      <c r="E73" s="62" t="n"/>
      <c r="F73" s="62" t="n"/>
      <c r="G73" s="62" t="n"/>
      <c r="H73" s="62" t="n"/>
      <c r="I73" s="61" t="n"/>
    </row>
    <row r="74" ht="18" customHeight="1">
      <c r="B74" s="13" t="inlineStr">
        <is>
          <t>Đã làm gì trong tuần này? (*)</t>
        </is>
      </c>
      <c r="C74" s="62" t="n"/>
      <c r="D74" s="61" t="n"/>
      <c r="E74" s="14" t="inlineStr">
        <is>
          <t>💬 Liệt kê cụ thể: tính năng, test case, module, file...</t>
        </is>
      </c>
      <c r="F74" s="62" t="n"/>
      <c r="G74" s="62" t="n"/>
      <c r="H74" s="62" t="n"/>
      <c r="I74" s="61" t="n"/>
    </row>
    <row r="75" ht="18" customHeight="1">
      <c r="B75" s="13" t="inlineStr">
        <is>
          <t>AI đã hỗ trợ như thế nào?</t>
        </is>
      </c>
      <c r="C75" s="62" t="n"/>
      <c r="D75" s="61" t="n"/>
      <c r="E75" s="14" t="inlineStr">
        <is>
          <t>💬 Tóm tắt cách dùng AI: tool nào, việc gì, hiệu quả ra sao</t>
        </is>
      </c>
      <c r="F75" s="62" t="n"/>
      <c r="G75" s="62" t="n"/>
      <c r="H75" s="62" t="n"/>
      <c r="I75" s="61" t="n"/>
    </row>
    <row r="76" ht="18" customHeight="1">
      <c r="B76" s="13" t="inlineStr">
        <is>
          <t>AI sai hoặc thiếu ở đâu? (*)</t>
        </is>
      </c>
      <c r="C76" s="62" t="n"/>
      <c r="D76" s="61" t="n"/>
      <c r="E76" s="14" t="inlineStr">
        <is>
          <t>💬 ⚠️ Bắt buộc ≥ 2 ví dụ cụ thể về điểm AI chưa đúng/đủ</t>
        </is>
      </c>
      <c r="F76" s="62" t="n"/>
      <c r="G76" s="62" t="n"/>
      <c r="H76" s="62" t="n"/>
      <c r="I76" s="61" t="n"/>
    </row>
    <row r="77" ht="18" customHeight="1">
      <c r="B77" s="13" t="inlineStr">
        <is>
          <t>Khó khăn gặp phải</t>
        </is>
      </c>
      <c r="C77" s="62" t="n"/>
      <c r="D77" s="61" t="n"/>
      <c r="E77" s="14" t="inlineStr">
        <is>
          <t>💬 Kỹ thuật, nhóm, công cụ, môi trường...</t>
        </is>
      </c>
      <c r="F77" s="62" t="n"/>
      <c r="G77" s="62" t="n"/>
      <c r="H77" s="62" t="n"/>
      <c r="I77" s="61" t="n"/>
    </row>
    <row r="78" ht="18" customHeight="1">
      <c r="B78" s="13" t="inlineStr">
        <is>
          <t>Nếu làm lại, sẽ cải thiện điều gì?</t>
        </is>
      </c>
      <c r="C78" s="62" t="n"/>
      <c r="D78" s="61" t="n"/>
      <c r="E78" s="14" t="inlineStr">
        <is>
          <t>💬 Quy trình, cách dùng AI, phân công nhóm...</t>
        </is>
      </c>
      <c r="F78" s="62" t="n"/>
      <c r="G78" s="62" t="n"/>
      <c r="H78" s="62" t="n"/>
      <c r="I78" s="61" t="n"/>
    </row>
    <row r="80" ht="18" customHeight="1">
      <c r="B80" s="16" t="inlineStr">
        <is>
          <t>Thành viên D — Thành viên</t>
        </is>
      </c>
      <c r="C80" s="62" t="n"/>
      <c r="D80" s="62" t="n"/>
      <c r="E80" s="62" t="n"/>
      <c r="F80" s="62" t="n"/>
      <c r="G80" s="62" t="n"/>
      <c r="H80" s="62" t="n"/>
      <c r="I80" s="61" t="n"/>
    </row>
    <row r="81" ht="18" customHeight="1">
      <c r="B81" s="13" t="inlineStr">
        <is>
          <t>Đã làm gì trong tuần này? (*)</t>
        </is>
      </c>
      <c r="C81" s="62" t="n"/>
      <c r="D81" s="61" t="n"/>
      <c r="E81" s="14" t="inlineStr">
        <is>
          <t>💬 Liệt kê cụ thể: tính năng, test case, module, file...</t>
        </is>
      </c>
      <c r="F81" s="62" t="n"/>
      <c r="G81" s="62" t="n"/>
      <c r="H81" s="62" t="n"/>
      <c r="I81" s="61" t="n"/>
    </row>
    <row r="82" ht="18" customHeight="1">
      <c r="B82" s="13" t="inlineStr">
        <is>
          <t>AI đã hỗ trợ như thế nào?</t>
        </is>
      </c>
      <c r="C82" s="62" t="n"/>
      <c r="D82" s="61" t="n"/>
      <c r="E82" s="14" t="inlineStr">
        <is>
          <t>💬 Tóm tắt cách dùng AI: tool nào, việc gì, hiệu quả ra sao</t>
        </is>
      </c>
      <c r="F82" s="62" t="n"/>
      <c r="G82" s="62" t="n"/>
      <c r="H82" s="62" t="n"/>
      <c r="I82" s="61" t="n"/>
    </row>
    <row r="83" ht="18" customHeight="1">
      <c r="B83" s="13" t="inlineStr">
        <is>
          <t>AI sai hoặc thiếu ở đâu? (*)</t>
        </is>
      </c>
      <c r="C83" s="62" t="n"/>
      <c r="D83" s="61" t="n"/>
      <c r="E83" s="14" t="inlineStr">
        <is>
          <t>💬 ⚠️ Bắt buộc ≥ 2 ví dụ cụ thể về điểm AI chưa đúng/đủ</t>
        </is>
      </c>
      <c r="F83" s="62" t="n"/>
      <c r="G83" s="62" t="n"/>
      <c r="H83" s="62" t="n"/>
      <c r="I83" s="61" t="n"/>
    </row>
    <row r="84" ht="18" customHeight="1">
      <c r="B84" s="13" t="inlineStr">
        <is>
          <t>Khó khăn gặp phải</t>
        </is>
      </c>
      <c r="C84" s="62" t="n"/>
      <c r="D84" s="61" t="n"/>
      <c r="E84" s="14" t="inlineStr">
        <is>
          <t>💬 Kỹ thuật, nhóm, công cụ, môi trường...</t>
        </is>
      </c>
      <c r="F84" s="62" t="n"/>
      <c r="G84" s="62" t="n"/>
      <c r="H84" s="62" t="n"/>
      <c r="I84" s="61" t="n"/>
    </row>
    <row r="85" ht="18" customHeight="1">
      <c r="B85" s="13" t="inlineStr">
        <is>
          <t>Nếu làm lại, sẽ cải thiện điều gì?</t>
        </is>
      </c>
      <c r="C85" s="62" t="n"/>
      <c r="D85" s="61" t="n"/>
      <c r="E85" s="14" t="inlineStr">
        <is>
          <t>💬 Quy trình, cách dùng AI, phân công nhóm...</t>
        </is>
      </c>
      <c r="F85" s="62" t="n"/>
      <c r="G85" s="62" t="n"/>
      <c r="H85" s="62" t="n"/>
      <c r="I85" s="61" t="n"/>
    </row>
    <row r="87" ht="18" customHeight="1">
      <c r="B87" s="16" t="inlineStr">
        <is>
          <t>Thành viên E — Thành viên</t>
        </is>
      </c>
      <c r="C87" s="62" t="n"/>
      <c r="D87" s="62" t="n"/>
      <c r="E87" s="62" t="n"/>
      <c r="F87" s="62" t="n"/>
      <c r="G87" s="62" t="n"/>
      <c r="H87" s="62" t="n"/>
      <c r="I87" s="61" t="n"/>
    </row>
    <row r="88" ht="18" customHeight="1">
      <c r="B88" s="13" t="inlineStr">
        <is>
          <t>Đã làm gì trong tuần này? (*)</t>
        </is>
      </c>
      <c r="C88" s="62" t="n"/>
      <c r="D88" s="61" t="n"/>
      <c r="E88" s="14" t="inlineStr">
        <is>
          <t>💬 Liệt kê cụ thể: tính năng, test case, module, file...</t>
        </is>
      </c>
      <c r="F88" s="62" t="n"/>
      <c r="G88" s="62" t="n"/>
      <c r="H88" s="62" t="n"/>
      <c r="I88" s="61" t="n"/>
    </row>
    <row r="89" ht="18" customHeight="1">
      <c r="B89" s="13" t="inlineStr">
        <is>
          <t>AI đã hỗ trợ như thế nào?</t>
        </is>
      </c>
      <c r="C89" s="62" t="n"/>
      <c r="D89" s="61" t="n"/>
      <c r="E89" s="14" t="inlineStr">
        <is>
          <t>💬 Tóm tắt cách dùng AI: tool nào, việc gì, hiệu quả ra sao</t>
        </is>
      </c>
      <c r="F89" s="62" t="n"/>
      <c r="G89" s="62" t="n"/>
      <c r="H89" s="62" t="n"/>
      <c r="I89" s="61" t="n"/>
    </row>
    <row r="90" ht="18" customHeight="1">
      <c r="B90" s="13" t="inlineStr">
        <is>
          <t>AI sai hoặc thiếu ở đâu? (*)</t>
        </is>
      </c>
      <c r="C90" s="62" t="n"/>
      <c r="D90" s="61" t="n"/>
      <c r="E90" s="14" t="inlineStr">
        <is>
          <t>💬 ⚠️ Bắt buộc ≥ 2 ví dụ cụ thể về điểm AI chưa đúng/đủ</t>
        </is>
      </c>
      <c r="F90" s="62" t="n"/>
      <c r="G90" s="62" t="n"/>
      <c r="H90" s="62" t="n"/>
      <c r="I90" s="61" t="n"/>
    </row>
    <row r="91" ht="18" customHeight="1">
      <c r="B91" s="13" t="inlineStr">
        <is>
          <t>Khó khăn gặp phải</t>
        </is>
      </c>
      <c r="C91" s="62" t="n"/>
      <c r="D91" s="61" t="n"/>
      <c r="E91" s="14" t="inlineStr">
        <is>
          <t>💬 Kỹ thuật, nhóm, công cụ, môi trường...</t>
        </is>
      </c>
      <c r="F91" s="62" t="n"/>
      <c r="G91" s="62" t="n"/>
      <c r="H91" s="62" t="n"/>
      <c r="I91" s="61" t="n"/>
    </row>
    <row r="92" ht="18" customHeight="1">
      <c r="B92" s="13" t="inlineStr">
        <is>
          <t>Nếu làm lại, sẽ cải thiện điều gì?</t>
        </is>
      </c>
      <c r="C92" s="62" t="n"/>
      <c r="D92" s="61" t="n"/>
      <c r="E92" s="14" t="inlineStr">
        <is>
          <t>💬 Quy trình, cách dùng AI, phân công nhóm...</t>
        </is>
      </c>
      <c r="F92" s="62" t="n"/>
      <c r="G92" s="62" t="n"/>
      <c r="H92" s="62" t="n"/>
      <c r="I92" s="61" t="n"/>
    </row>
    <row r="94" ht="15.75" customHeight="1">
      <c r="B94" s="15" t="inlineStr">
        <is>
          <t>FER202  |  Week 10  |  FPT University — Điền xong nhớ Ctrl+S để lưu!</t>
        </is>
      </c>
      <c r="C94" s="62" t="n"/>
      <c r="D94" s="62" t="n"/>
      <c r="E94" s="62" t="n"/>
      <c r="F94" s="62" t="n"/>
      <c r="G94" s="62" t="n"/>
      <c r="H94" s="62" t="n"/>
      <c r="I94" s="61"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B2:L22"/>
  <sheetViews>
    <sheetView showGridLines="0" tabSelected="0" topLeftCell="A7" zoomScaleNormal="100" workbookViewId="0">
      <selection activeCell="D26" sqref="D26"/>
    </sheetView>
  </sheetViews>
  <sheetFormatPr baseColWidth="8" defaultColWidth="8.6328125" defaultRowHeight="14.5"/>
  <cols>
    <col width="3" customWidth="1" min="1" max="1"/>
    <col width="12" customWidth="1" min="2" max="2"/>
    <col width="16" customWidth="1" min="3" max="6"/>
    <col width="13" customWidth="1" min="7" max="11"/>
  </cols>
  <sheetData>
    <row r="1" ht="13.5" customHeight="1"/>
    <row r="2" ht="33.75" customHeight="1">
      <c r="B2" s="25" t="inlineStr">
        <is>
          <t>SUMMARY — Tổng hợp cả học kỳ</t>
        </is>
      </c>
      <c r="C2" s="62" t="n"/>
      <c r="D2" s="62" t="n"/>
      <c r="E2" s="62" t="n"/>
      <c r="F2" s="62" t="n"/>
      <c r="G2" s="62" t="n"/>
      <c r="H2" s="62" t="n"/>
      <c r="I2" s="62" t="n"/>
      <c r="J2" s="62" t="n"/>
      <c r="K2" s="62" t="n"/>
      <c r="L2" s="61" t="n"/>
    </row>
    <row r="4" ht="19.5" customHeight="1">
      <c r="B4" s="27" t="inlineStr">
        <is>
          <t>📊  Tổng số lần dùng AI theo tuần &amp; thành viên (tự động đếm từ các sheet Week)</t>
        </is>
      </c>
      <c r="C4" s="62" t="n"/>
      <c r="D4" s="62" t="n"/>
      <c r="E4" s="62" t="n"/>
      <c r="F4" s="62" t="n"/>
      <c r="G4" s="62" t="n"/>
      <c r="H4" s="62" t="n"/>
      <c r="I4" s="62" t="n"/>
      <c r="J4" s="62" t="n"/>
      <c r="K4" s="62" t="n"/>
      <c r="L4" s="61" t="n"/>
    </row>
    <row r="5" ht="19.5" customHeight="1">
      <c r="B5" s="5" t="inlineStr">
        <is>
          <t>Tuần</t>
        </is>
      </c>
      <c r="C5" s="5" t="inlineStr">
        <is>
          <t>TV-A</t>
        </is>
      </c>
      <c r="D5" s="5" t="inlineStr">
        <is>
          <t>TV-B</t>
        </is>
      </c>
      <c r="E5" s="5" t="inlineStr">
        <is>
          <t>TV-C</t>
        </is>
      </c>
      <c r="F5" s="5" t="inlineStr">
        <is>
          <t>TV-D</t>
        </is>
      </c>
      <c r="G5" s="5" t="inlineStr">
        <is>
          <t>TV-E</t>
        </is>
      </c>
      <c r="H5" s="5" t="inlineStr">
        <is>
          <t>Tổng</t>
        </is>
      </c>
      <c r="I5" s="5" t="inlineStr">
        <is>
          <t>Low</t>
        </is>
      </c>
      <c r="J5" s="5" t="inlineStr">
        <is>
          <t>Medium</t>
        </is>
      </c>
      <c r="K5" s="5" t="inlineStr">
        <is>
          <t>High</t>
        </is>
      </c>
      <c r="L5" s="5" t="inlineStr">
        <is>
          <t>Ghi chú</t>
        </is>
      </c>
    </row>
    <row r="6" ht="18" customHeight="1">
      <c r="B6" s="9" t="inlineStr">
        <is>
          <t>Week 01</t>
        </is>
      </c>
      <c r="C6" s="9">
        <f>COUNTIF(Week_01!$C$8:$C$15,"A")</f>
        <v/>
      </c>
      <c r="D6" s="9">
        <f>COUNTIF(Week_01!$C$8:$C$15,"B")</f>
        <v/>
      </c>
      <c r="E6" s="9">
        <f>COUNTIF(Week_01!$C$8:$C$15,"C")</f>
        <v/>
      </c>
      <c r="F6" s="9">
        <f>COUNTIF(Week_01!$C$8:$C$15,"D")</f>
        <v/>
      </c>
      <c r="G6" s="9">
        <f>COUNTIF(Week_01!$C$8:$C$15,"E")</f>
        <v/>
      </c>
      <c r="H6" s="9">
        <f>SUM(C6:G6)</f>
        <v/>
      </c>
      <c r="I6" s="9">
        <f>COUNTIF(Week_01!$G$8:$G$15,"Low")</f>
        <v/>
      </c>
      <c r="J6" s="9">
        <f>COUNTIF(Week_01!$G$8:$G$15,"Medium")</f>
        <v/>
      </c>
      <c r="K6" s="9">
        <f>COUNTIF(Week_01!$G$8:$G$15,"High")</f>
        <v/>
      </c>
      <c r="L6" s="9" t="n"/>
    </row>
    <row r="7" ht="18" customHeight="1">
      <c r="B7" s="9" t="inlineStr">
        <is>
          <t>Week 02</t>
        </is>
      </c>
      <c r="C7" s="9">
        <f>COUNTIF(Week_02!$C$8:$C$15,"A")</f>
        <v/>
      </c>
      <c r="D7" s="9">
        <f>COUNTIF(Week_02!$C$8:$C$15,"B")</f>
        <v/>
      </c>
      <c r="E7" s="9">
        <f>COUNTIF(Week_02!$C$8:$C$15,"C")</f>
        <v/>
      </c>
      <c r="F7" s="9">
        <f>COUNTIF(Week_02!$C$8:$C$15,"D")</f>
        <v/>
      </c>
      <c r="G7" s="9">
        <f>COUNTIF(Week_02!$C$8:$C$15,"E")</f>
        <v/>
      </c>
      <c r="H7" s="9">
        <f>SUM(C7:G7)</f>
        <v/>
      </c>
      <c r="I7" s="9">
        <f>COUNTIF(Week_02!$G$8:$G$15,"Low")</f>
        <v/>
      </c>
      <c r="J7" s="9">
        <f>COUNTIF(Week_02!$G$8:$G$15,"Medium")</f>
        <v/>
      </c>
      <c r="K7" s="9">
        <f>COUNTIF(Week_02!$G$8:$G$15,"High")</f>
        <v/>
      </c>
      <c r="L7" s="9" t="n"/>
    </row>
    <row r="8" ht="18" customHeight="1">
      <c r="B8" s="9" t="inlineStr">
        <is>
          <t>Week 03</t>
        </is>
      </c>
      <c r="C8" s="9">
        <f>COUNTIF(Week_03!$C$8:$C$15,"A")</f>
        <v/>
      </c>
      <c r="D8" s="9">
        <f>COUNTIF(Week_03!$C$8:$C$15,"B")</f>
        <v/>
      </c>
      <c r="E8" s="9">
        <f>COUNTIF(Week_03!$C$8:$C$15,"C")</f>
        <v/>
      </c>
      <c r="F8" s="9">
        <f>COUNTIF(Week_03!$C$8:$C$15,"D")</f>
        <v/>
      </c>
      <c r="G8" s="9">
        <f>COUNTIF(Week_03!$C$8:$C$15,"E")</f>
        <v/>
      </c>
      <c r="H8" s="9">
        <f>SUM(C8:G8)</f>
        <v/>
      </c>
      <c r="I8" s="9">
        <f>COUNTIF(Week_03!$G$8:$G$15,"Low")</f>
        <v/>
      </c>
      <c r="J8" s="9">
        <f>COUNTIF(Week_03!$G$8:$G$15,"Medium")</f>
        <v/>
      </c>
      <c r="K8" s="9">
        <f>COUNTIF(Week_03!$G$8:$G$15,"High")</f>
        <v/>
      </c>
      <c r="L8" s="9" t="n"/>
    </row>
    <row r="9" ht="18" customHeight="1">
      <c r="B9" s="9" t="inlineStr">
        <is>
          <t>Week 04</t>
        </is>
      </c>
      <c r="C9" s="9">
        <f>COUNTIF(Week_04!$C$8:$C$15,"A")</f>
        <v/>
      </c>
      <c r="D9" s="9">
        <f>COUNTIF(Week_04!$C$8:$C$15,"B")</f>
        <v/>
      </c>
      <c r="E9" s="9">
        <f>COUNTIF(Week_04!$C$8:$C$15,"C")</f>
        <v/>
      </c>
      <c r="F9" s="9">
        <f>COUNTIF(Week_04!$C$8:$C$15,"D")</f>
        <v/>
      </c>
      <c r="G9" s="9">
        <f>COUNTIF(Week_04!$C$8:$C$15,"E")</f>
        <v/>
      </c>
      <c r="H9" s="9">
        <f>SUM(C9:G9)</f>
        <v/>
      </c>
      <c r="I9" s="9">
        <f>COUNTIF(Week_04!$G$8:$G$15,"Low")</f>
        <v/>
      </c>
      <c r="J9" s="9">
        <f>COUNTIF(Week_04!$G$8:$G$15,"Medium")</f>
        <v/>
      </c>
      <c r="K9" s="9">
        <f>COUNTIF(Week_04!$G$8:$G$15,"High")</f>
        <v/>
      </c>
      <c r="L9" s="9" t="n"/>
    </row>
    <row r="10" ht="18" customHeight="1">
      <c r="B10" s="9" t="inlineStr">
        <is>
          <t>Week 05</t>
        </is>
      </c>
      <c r="C10" s="9">
        <f>COUNTIF(Week_05!$C$8:$C$15,"A")</f>
        <v/>
      </c>
      <c r="D10" s="9">
        <f>COUNTIF(Week_05!$C$8:$C$15,"B")</f>
        <v/>
      </c>
      <c r="E10" s="9">
        <f>COUNTIF(Week_05!$C$8:$C$15,"C")</f>
        <v/>
      </c>
      <c r="F10" s="9">
        <f>COUNTIF(Week_05!$C$8:$C$15,"D")</f>
        <v/>
      </c>
      <c r="G10" s="9">
        <f>COUNTIF(Week_05!$C$8:$C$15,"E")</f>
        <v/>
      </c>
      <c r="H10" s="9">
        <f>SUM(C10:G10)</f>
        <v/>
      </c>
      <c r="I10" s="9">
        <f>COUNTIF(Week_05!$G$8:$G$15,"Low")</f>
        <v/>
      </c>
      <c r="J10" s="9">
        <f>COUNTIF(Week_05!$G$8:$G$15,"Medium")</f>
        <v/>
      </c>
      <c r="K10" s="9">
        <f>COUNTIF(Week_05!$G$8:$G$15,"High")</f>
        <v/>
      </c>
      <c r="L10" s="9" t="n"/>
    </row>
    <row r="11" ht="18" customHeight="1">
      <c r="B11" s="9" t="inlineStr">
        <is>
          <t>Week 06</t>
        </is>
      </c>
      <c r="C11" s="9">
        <f>COUNTIF(Week_06!$C$8:$C$15,"A")</f>
        <v/>
      </c>
      <c r="D11" s="9">
        <f>COUNTIF(Week_06!$C$8:$C$15,"B")</f>
        <v/>
      </c>
      <c r="E11" s="9">
        <f>COUNTIF(Week_06!$C$8:$C$15,"C")</f>
        <v/>
      </c>
      <c r="F11" s="9">
        <f>COUNTIF(Week_06!$C$8:$C$15,"D")</f>
        <v/>
      </c>
      <c r="G11" s="9">
        <f>COUNTIF(Week_06!$C$8:$C$15,"E")</f>
        <v/>
      </c>
      <c r="H11" s="9">
        <f>SUM(C11:G11)</f>
        <v/>
      </c>
      <c r="I11" s="9">
        <f>COUNTIF(Week_06!$G$8:$G$15,"Low")</f>
        <v/>
      </c>
      <c r="J11" s="9">
        <f>COUNTIF(Week_06!$G$8:$G$15,"Medium")</f>
        <v/>
      </c>
      <c r="K11" s="9">
        <f>COUNTIF(Week_06!$G$8:$G$15,"High")</f>
        <v/>
      </c>
      <c r="L11" s="9" t="n"/>
    </row>
    <row r="12" ht="18" customHeight="1">
      <c r="B12" s="9" t="inlineStr">
        <is>
          <t>Week 07</t>
        </is>
      </c>
      <c r="C12" s="9">
        <f>COUNTIF(Week_07!$C$8:$C$15,"A")</f>
        <v/>
      </c>
      <c r="D12" s="9">
        <f>COUNTIF(Week_07!$C$8:$C$15,"B")</f>
        <v/>
      </c>
      <c r="E12" s="9">
        <f>COUNTIF(Week_07!$C$8:$C$15,"C")</f>
        <v/>
      </c>
      <c r="F12" s="9">
        <f>COUNTIF(Week_07!$C$8:$C$15,"D")</f>
        <v/>
      </c>
      <c r="G12" s="9">
        <f>COUNTIF(Week_07!$C$8:$C$15,"E")</f>
        <v/>
      </c>
      <c r="H12" s="9">
        <f>SUM(C12:G12)</f>
        <v/>
      </c>
      <c r="I12" s="9">
        <f>COUNTIF(Week_07!$G$8:$G$15,"Low")</f>
        <v/>
      </c>
      <c r="J12" s="9">
        <f>COUNTIF(Week_07!$G$8:$G$15,"Medium")</f>
        <v/>
      </c>
      <c r="K12" s="9">
        <f>COUNTIF(Week_07!$G$8:$G$15,"High")</f>
        <v/>
      </c>
      <c r="L12" s="9" t="n"/>
    </row>
    <row r="13" ht="18" customHeight="1">
      <c r="B13" s="9" t="inlineStr">
        <is>
          <t>Week 08</t>
        </is>
      </c>
      <c r="C13" s="9">
        <f>COUNTIF(Week_08!$C$8:$C$15,"A")</f>
        <v/>
      </c>
      <c r="D13" s="9">
        <f>COUNTIF(Week_08!$C$8:$C$15,"B")</f>
        <v/>
      </c>
      <c r="E13" s="9">
        <f>COUNTIF(Week_08!$C$8:$C$15,"C")</f>
        <v/>
      </c>
      <c r="F13" s="9">
        <f>COUNTIF(Week_08!$C$8:$C$15,"D")</f>
        <v/>
      </c>
      <c r="G13" s="9">
        <f>COUNTIF(Week_08!$C$8:$C$15,"E")</f>
        <v/>
      </c>
      <c r="H13" s="9">
        <f>SUM(C13:G13)</f>
        <v/>
      </c>
      <c r="I13" s="9">
        <f>COUNTIF(Week_08!$G$8:$G$15,"Low")</f>
        <v/>
      </c>
      <c r="J13" s="9">
        <f>COUNTIF(Week_08!$G$8:$G$15,"Medium")</f>
        <v/>
      </c>
      <c r="K13" s="9">
        <f>COUNTIF(Week_08!$G$8:$G$15,"High")</f>
        <v/>
      </c>
      <c r="L13" s="9" t="n"/>
    </row>
    <row r="14" ht="18" customHeight="1">
      <c r="B14" s="9" t="inlineStr">
        <is>
          <t>Week 09</t>
        </is>
      </c>
      <c r="C14" s="9">
        <f>COUNTIF(Week_09!$C$8:$C$15,"A")</f>
        <v/>
      </c>
      <c r="D14" s="9">
        <f>COUNTIF(Week_09!$C$8:$C$15,"B")</f>
        <v/>
      </c>
      <c r="E14" s="9">
        <f>COUNTIF(Week_09!$C$8:$C$15,"C")</f>
        <v/>
      </c>
      <c r="F14" s="9">
        <f>COUNTIF(Week_09!$C$8:$C$15,"D")</f>
        <v/>
      </c>
      <c r="G14" s="9">
        <f>COUNTIF(Week_09!$C$8:$C$15,"E")</f>
        <v/>
      </c>
      <c r="H14" s="9">
        <f>SUM(C14:G14)</f>
        <v/>
      </c>
      <c r="I14" s="9">
        <f>COUNTIF(Week_09!$G$8:$G$15,"Low")</f>
        <v/>
      </c>
      <c r="J14" s="9">
        <f>COUNTIF(Week_09!$G$8:$G$15,"Medium")</f>
        <v/>
      </c>
      <c r="K14" s="9">
        <f>COUNTIF(Week_09!$G$8:$G$15,"High")</f>
        <v/>
      </c>
      <c r="L14" s="9" t="n"/>
    </row>
    <row r="15" ht="18" customHeight="1">
      <c r="B15" s="9" t="inlineStr">
        <is>
          <t>Week 10</t>
        </is>
      </c>
      <c r="C15" s="9">
        <f>COUNTIF(Week_10!$C$8:$C$15,"A")</f>
        <v/>
      </c>
      <c r="D15" s="9">
        <f>COUNTIF(Week_10!$C$8:$C$15,"B")</f>
        <v/>
      </c>
      <c r="E15" s="9">
        <f>COUNTIF(Week_10!$C$8:$C$15,"C")</f>
        <v/>
      </c>
      <c r="F15" s="9">
        <f>COUNTIF(Week_10!$C$8:$C$15,"D")</f>
        <v/>
      </c>
      <c r="G15" s="9">
        <f>COUNTIF(Week_10!$C$8:$C$15,"E")</f>
        <v/>
      </c>
      <c r="H15" s="9">
        <f>SUM(C15:G15)</f>
        <v/>
      </c>
      <c r="I15" s="9">
        <f>COUNTIF(Week_10!$G$8:$G$15,"Low")</f>
        <v/>
      </c>
      <c r="J15" s="9">
        <f>COUNTIF(Week_10!$G$8:$G$15,"Medium")</f>
        <v/>
      </c>
      <c r="K15" s="9">
        <f>COUNTIF(Week_10!$G$8:$G$15,"High")</f>
        <v/>
      </c>
      <c r="L15" s="9" t="n"/>
    </row>
    <row r="16" ht="19.5" customHeight="1">
      <c r="B16" s="5" t="inlineStr">
        <is>
          <t>TỔNG</t>
        </is>
      </c>
      <c r="C16" s="5">
        <f>SUM(C6:C15)</f>
        <v/>
      </c>
      <c r="D16" s="5">
        <f>SUM(D6:D15)</f>
        <v/>
      </c>
      <c r="E16" s="5">
        <f>SUM(E6:E15)</f>
        <v/>
      </c>
      <c r="F16" s="5">
        <f>SUM(F6:F15)</f>
        <v/>
      </c>
      <c r="G16" s="5">
        <f>SUM(G6:G15)</f>
        <v/>
      </c>
      <c r="H16" s="5">
        <f>SUM(H6:H15)</f>
        <v/>
      </c>
      <c r="I16" s="5">
        <f>SUM(I6:I15)</f>
        <v/>
      </c>
      <c r="J16" s="5">
        <f>SUM(J6:J15)</f>
        <v/>
      </c>
      <c r="K16" s="5">
        <f>SUM(K6:K15)</f>
        <v/>
      </c>
      <c r="L16" s="5" t="n"/>
    </row>
    <row r="18" ht="19.5" customHeight="1">
      <c r="B18" s="18" t="inlineStr">
        <is>
          <t>📝  Nhận xét tổng kết học kỳ của nhóm</t>
        </is>
      </c>
      <c r="C18" s="62" t="n"/>
      <c r="D18" s="62" t="n"/>
      <c r="E18" s="62" t="n"/>
      <c r="F18" s="62" t="n"/>
      <c r="G18" s="62" t="n"/>
      <c r="H18" s="62" t="n"/>
      <c r="I18" s="62" t="n"/>
      <c r="J18" s="62" t="n"/>
      <c r="K18" s="62" t="n"/>
      <c r="L18" s="61" t="n"/>
    </row>
    <row r="19" ht="21.75" customHeight="1">
      <c r="B19" s="60" t="inlineStr">
        <is>
          <t>Công cụ AI nhóm dùng nhiều nhất:</t>
        </is>
      </c>
      <c r="C19" s="62" t="n"/>
      <c r="D19" s="62" t="n"/>
      <c r="E19" s="21" t="n"/>
      <c r="F19" s="62" t="n"/>
      <c r="G19" s="62" t="n"/>
      <c r="H19" s="62" t="n"/>
      <c r="I19" s="62" t="n"/>
      <c r="J19" s="62" t="n"/>
      <c r="K19" s="62" t="n"/>
      <c r="L19" s="61" t="n"/>
    </row>
    <row r="20" ht="21.75" customHeight="1">
      <c r="B20" s="60" t="inlineStr">
        <is>
          <t>Tuần sử dụng AI hiệu quả nhất và lý do:</t>
        </is>
      </c>
      <c r="C20" s="62" t="n"/>
      <c r="D20" s="62" t="n"/>
      <c r="E20" s="21" t="n"/>
      <c r="F20" s="62" t="n"/>
      <c r="G20" s="62" t="n"/>
      <c r="H20" s="62" t="n"/>
      <c r="I20" s="62" t="n"/>
      <c r="J20" s="62" t="n"/>
      <c r="K20" s="62" t="n"/>
      <c r="L20" s="61" t="n"/>
    </row>
    <row r="21" ht="21.75" customHeight="1">
      <c r="B21" s="60" t="inlineStr">
        <is>
          <t>Điểm hạn chế / rủi ro khi dùng AI trong project:</t>
        </is>
      </c>
      <c r="C21" s="62" t="n"/>
      <c r="D21" s="62" t="n"/>
      <c r="E21" s="21" t="n"/>
      <c r="F21" s="62" t="n"/>
      <c r="G21" s="62" t="n"/>
      <c r="H21" s="62" t="n"/>
      <c r="I21" s="62" t="n"/>
      <c r="J21" s="62" t="n"/>
      <c r="K21" s="62" t="n"/>
      <c r="L21" s="61" t="n"/>
    </row>
    <row r="22" ht="32.25" customHeight="1">
      <c r="B22" s="60" t="inlineStr">
        <is>
          <t>Bài học lớn nhất từ việc dùng AI trong học kỳ này:</t>
        </is>
      </c>
      <c r="C22" s="62" t="n"/>
      <c r="D22" s="62" t="n"/>
      <c r="E22" s="21" t="n"/>
      <c r="F22" s="62" t="n"/>
      <c r="G22" s="62" t="n"/>
      <c r="H22" s="62" t="n"/>
      <c r="I22" s="62" t="n"/>
      <c r="J22" s="62" t="n"/>
      <c r="K22" s="62" t="n"/>
      <c r="L22" s="61" t="n"/>
    </row>
  </sheetData>
  <mergeCells count="11">
    <mergeCell ref="B4:L4"/>
    <mergeCell ref="B19:D19"/>
    <mergeCell ref="E20:L20"/>
    <mergeCell ref="E21:L21"/>
    <mergeCell ref="B22:D22"/>
    <mergeCell ref="B2:L2"/>
    <mergeCell ref="E19:L19"/>
    <mergeCell ref="B21:D21"/>
    <mergeCell ref="E22:L22"/>
    <mergeCell ref="B18:L18"/>
    <mergeCell ref="B20:D2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2026-05-29T14:09:10Z</dcterms:created>
  <dcterms:modified xmlns:dcterms="http://purl.org/dc/terms/" xmlns:xsi="http://www.w3.org/2001/XMLSchema-instance" xsi:type="dcterms:W3CDTF">2026-06-23T01:11:31Z</dcterms:modified>
  <cp:lastModifiedBy>Lenovo</cp:lastModifiedBy>
  <cp:revision>0</cp:revision>
</cp:coreProperties>
</file>