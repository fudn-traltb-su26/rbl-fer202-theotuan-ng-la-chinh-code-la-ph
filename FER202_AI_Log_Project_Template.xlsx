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E:\Semester 5\BaiTap\rbl-fer202-theotuan-ng-la-chinh-code-la-ph\"/>
    </mc:Choice>
  </mc:AlternateContent>
  <xr:revisionPtr revIDLastSave="0" documentId="13_ncr:1_{04C472AE-354E-481A-A3E1-87162036A863}" xr6:coauthVersionLast="47" xr6:coauthVersionMax="47" xr10:uidLastSave="{00000000-0000-0000-0000-000000000000}"/>
  <bookViews>
    <workbookView xWindow="12710" yWindow="0" windowWidth="12980" windowHeight="16090" tabRatio="500" firstSheet="7" activeTab="8" xr2:uid="{00000000-000D-0000-FFFF-FFFF00000000}"/>
  </bookViews>
  <sheets>
    <sheet name="Hướng dẫn" sheetId="1" r:id="rId1"/>
    <sheet name="Thông tin nhóm" sheetId="2" r:id="rId2"/>
    <sheet name="Week_01" sheetId="3" r:id="rId3"/>
    <sheet name="Week_02" sheetId="4" r:id="rId4"/>
    <sheet name="Week_03" sheetId="5" r:id="rId5"/>
    <sheet name="Week_04" sheetId="6" r:id="rId6"/>
    <sheet name="Week_05" sheetId="7" r:id="rId7"/>
    <sheet name="Week_06" sheetId="8" r:id="rId8"/>
    <sheet name="Week_07" sheetId="9" r:id="rId9"/>
    <sheet name="Week_08" sheetId="10" r:id="rId10"/>
    <sheet name="Week_09" sheetId="11" r:id="rId11"/>
    <sheet name="Week_10" sheetId="12" r:id="rId12"/>
    <sheet name="Summary"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5" i="13" l="1"/>
  <c r="J15" i="13"/>
  <c r="I15" i="13"/>
  <c r="G15" i="13"/>
  <c r="F15" i="13"/>
  <c r="E15" i="13"/>
  <c r="D15" i="13"/>
  <c r="C15" i="13"/>
  <c r="H15" i="13" s="1"/>
  <c r="K14" i="13"/>
  <c r="J14" i="13"/>
  <c r="I14" i="13"/>
  <c r="H14" i="13"/>
  <c r="G14" i="13"/>
  <c r="F14" i="13"/>
  <c r="E14" i="13"/>
  <c r="D14" i="13"/>
  <c r="C14" i="13"/>
  <c r="K13" i="13"/>
  <c r="J13" i="13"/>
  <c r="I13" i="13"/>
  <c r="G13" i="13"/>
  <c r="F13" i="13"/>
  <c r="E13" i="13"/>
  <c r="H13" i="13" s="1"/>
  <c r="D13" i="13"/>
  <c r="C13" i="13"/>
  <c r="K12" i="13"/>
  <c r="J12" i="13"/>
  <c r="I12" i="13"/>
  <c r="G12" i="13"/>
  <c r="F12" i="13"/>
  <c r="E12" i="13"/>
  <c r="D12" i="13"/>
  <c r="C12" i="13"/>
  <c r="K11" i="13"/>
  <c r="J11" i="13"/>
  <c r="I11" i="13"/>
  <c r="G11" i="13"/>
  <c r="F11" i="13"/>
  <c r="E11" i="13"/>
  <c r="D11" i="13"/>
  <c r="C11" i="13"/>
  <c r="K10" i="13"/>
  <c r="J10" i="13"/>
  <c r="I10" i="13"/>
  <c r="G10" i="13"/>
  <c r="F10" i="13"/>
  <c r="E10" i="13"/>
  <c r="D10" i="13"/>
  <c r="C10" i="13"/>
  <c r="K9" i="13"/>
  <c r="J9" i="13"/>
  <c r="I9" i="13"/>
  <c r="G9" i="13"/>
  <c r="F9" i="13"/>
  <c r="E9" i="13"/>
  <c r="D9" i="13"/>
  <c r="C9" i="13"/>
  <c r="K8" i="13"/>
  <c r="J8" i="13"/>
  <c r="I8" i="13"/>
  <c r="G8" i="13"/>
  <c r="F8" i="13"/>
  <c r="E8" i="13"/>
  <c r="D8" i="13"/>
  <c r="C8" i="13"/>
  <c r="H8" i="13" s="1"/>
  <c r="K7" i="13"/>
  <c r="J7" i="13"/>
  <c r="I7" i="13"/>
  <c r="G7" i="13"/>
  <c r="F7" i="13"/>
  <c r="E7" i="13"/>
  <c r="D7" i="13"/>
  <c r="C7" i="13"/>
  <c r="H7" i="13" s="1"/>
  <c r="K6" i="13"/>
  <c r="J6" i="13"/>
  <c r="I6" i="13"/>
  <c r="H6" i="13"/>
  <c r="G6" i="13"/>
  <c r="F6" i="13"/>
  <c r="E6" i="13"/>
  <c r="D6" i="13"/>
  <c r="C6" i="13"/>
  <c r="H12" i="13" l="1"/>
  <c r="H11" i="13"/>
  <c r="H10" i="13"/>
  <c r="J16" i="13"/>
  <c r="I16" i="13"/>
  <c r="K16" i="13"/>
  <c r="F16" i="13"/>
  <c r="H9" i="13"/>
  <c r="G16" i="13"/>
  <c r="D16" i="13"/>
  <c r="E16" i="13"/>
  <c r="C16" i="13"/>
  <c r="H16" i="13" l="1"/>
</calcChain>
</file>

<file path=xl/sharedStrings.xml><?xml version="1.0" encoding="utf-8"?>
<sst xmlns="http://schemas.openxmlformats.org/spreadsheetml/2006/main" count="1955" uniqueCount="762">
  <si>
    <t>WEEK 03 — Nhật ký AI &amp; Project</t>
  </si>
  <si>
    <t>Mỗi thành viên dùng ký hiệu A/B/C/D/E ở cột TV.  Cột (*) bắt buộc điền.  Lưu file sau khi điền xong.</t>
  </si>
  <si>
    <t>📋  BẢNG 1: Nhật ký sử dụng AI  (AI_AUDIT_LOG)</t>
  </si>
  <si>
    <t>Ghi mỗi lần dùng AI vào 1 dòng.  Mức hỗ trợ: Low = AI gợi ý nhỏ  |  Medium = AI đóng góp nhiều  |  High = AI tạo phần lớn</t>
  </si>
  <si>
    <t>Ngày (*)</t>
  </si>
  <si>
    <t>TV (*)</t>
  </si>
  <si>
    <t>Công cụ AI (*)</t>
  </si>
  <si>
    <t>Mục đích sử dụng (*)</t>
  </si>
  <si>
    <t>File ảnh hưởng</t>
  </si>
  <si>
    <t>Mức hỗ trợ (*)</t>
  </si>
  <si>
    <t>Đã chỉnh sửa gì?</t>
  </si>
  <si>
    <t>Kiểm chứng</t>
  </si>
  <si>
    <t>23/06/2026</t>
  </si>
  <si>
    <t>A</t>
  </si>
  <si>
    <t>ChatGPT</t>
  </si>
  <si>
    <t>Hỗ trợ cấu hình React Router v6 và triển khai Protected Routes theo role</t>
  </si>
  <si>
    <t>App.jsx, PrivateRoute.jsx</t>
  </si>
  <si>
    <t>Medium</t>
  </si>
  <si>
    <t>Bổ sung xử lý token hết hạn và redirect theo role</t>
  </si>
  <si>
    <t>Test điều hướng đúng với từng role</t>
  </si>
  <si>
    <t>B</t>
  </si>
  <si>
    <t>Hỗ trợ viết custom hook useAuth quản lý JWT và login state</t>
  </si>
  <si>
    <t>useAuth.js, AuthContext.jsx</t>
  </si>
  <si>
    <t>High</t>
  </si>
  <si>
    <t>Thêm kiểm tra expiry, lưu token vào Context thay localStorage</t>
  </si>
  <si>
    <t>Kiểm tra login/logout flow và token persist</t>
  </si>
  <si>
    <t>E</t>
  </si>
  <si>
    <t>Sinh dữ liệu mẫu Employee, Attendance, Payroll có khóa ngoại cho db.json</t>
  </si>
  <si>
    <t>db.json</t>
  </si>
  <si>
    <t>Bổ sung trường role, workingShiftId, startDate còn thiếu</t>
  </si>
  <si>
    <t>JSON Server trả dữ liệu đúng, khóa ngoại hợp lệ</t>
  </si>
  <si>
    <t>D</t>
  </si>
  <si>
    <t>Google Stitch AI</t>
  </si>
  <si>
    <t>Thiết kế màn hình Employee Details và Create Employee Form theo RDS UC10, UC11</t>
  </si>
  <si>
    <t>EmployeeDetails.fig, CreateEmployee.fig</t>
  </si>
  <si>
    <t>Thêm field nationalId, address; bổ sung required indicator theo UC10</t>
  </si>
  <si>
    <t>Nhóm review và xác nhận khớp RDS</t>
  </si>
  <si>
    <t>C</t>
  </si>
  <si>
    <t>Hỗ trợ dùng useEffect fetch dữ liệu thực từ JSON Server với loading/error state</t>
  </si>
  <si>
    <t>EmployeeList.jsx</t>
  </si>
  <si>
    <t>Bổ sung AbortController cleanup khi component unmount</t>
  </si>
  <si>
    <t>Không còn memory leak warning trên console</t>
  </si>
  <si>
    <t>Hỗ trợ xây dựng LoginPage với form validation và xử lý response API auth</t>
  </si>
  <si>
    <t>LoginPage.jsx</t>
  </si>
  <si>
    <t>Thêm xử lý lỗi 401/403, thông báo lỗi và redirect sau login</t>
  </si>
  <si>
    <t>Test login đúng/sai credentials và redirect đúng</t>
  </si>
  <si>
    <t>Hỗ trợ viết service layer employeeService.js với các hàm CRUD</t>
  </si>
  <si>
    <t>employeeService.js</t>
  </si>
  <si>
    <t>Chuyển từ axios sang fetch API, bổ sung try-catch toàn bộ hàm</t>
  </si>
  <si>
    <t>Test tạo/sửa/xóa nhân viên thành công</t>
  </si>
  <si>
    <t>Hỗ trợ soạn báo cáo tiến độ tuần 03 và tổng kết kết quả nhóm</t>
  </si>
  <si>
    <t>Week03_Report.docx</t>
  </si>
  <si>
    <t>Low</t>
  </si>
  <si>
    <t>Chỉnh lại theo kết quả thực tế, bỏ nội dung AI thêm không liên quan</t>
  </si>
  <si>
    <t>Nhóm xác nhận và mentor review</t>
  </si>
  <si>
    <t>📝  BẢNG 2: Nhật ký thay đổi project  (CHANGELOG)</t>
  </si>
  <si>
    <t>Added = thêm mới  |  Changed = cải tiến  |  Fixed = sửa lỗi  |  Removed = xóa bỏ</t>
  </si>
  <si>
    <t>Loại (*)</t>
  </si>
  <si>
    <t>Mô tả thay đổi (*)</t>
  </si>
  <si>
    <t>File liên quan</t>
  </si>
  <si>
    <t>Ghi chú</t>
  </si>
  <si>
    <t>Added — Thêm mới</t>
  </si>
  <si>
    <t>Added</t>
  </si>
  <si>
    <t>Xây dựng LoginPage Component với form validation và gọi API xác thực người dùng.</t>
  </si>
  <si>
    <t>LoginPage.jsx, useAuth.js</t>
  </si>
  <si>
    <t>Theo UC01 - Login trong RDS.</t>
  </si>
  <si>
    <t>Triển khai Protected Routes và điều hướng theo role người dùng (HR Manager, Employee).</t>
  </si>
  <si>
    <t>Dựa trên Screen Authorization trong RDS.</t>
  </si>
  <si>
    <t>Mở rộng db.json với dữ liệu mẫu đầy đủ cho Employee, Attendance, Payroll.</t>
  </si>
  <si>
    <t>Phục vụ phát triển và test offline.</t>
  </si>
  <si>
    <t>Changed — Cải tiến</t>
  </si>
  <si>
    <t>Changed</t>
  </si>
  <si>
    <t>Nâng cấp EmployeeList dùng useEffect để fetch dữ liệu thực từ JSON Server thay dữ liệu hardcode.</t>
  </si>
  <si>
    <t>Chuẩn bị cho tích hợp backend thực tế.</t>
  </si>
  <si>
    <t>Cập nhật mockup Employee Details và Create Form theo UC10, UC11, UC12 trong RDS.</t>
  </si>
  <si>
    <t>EmployeeDetails.fig</t>
  </si>
  <si>
    <t>Đảm bảo UI phản ánh đúng yêu cầu nghiệp vụ.</t>
  </si>
  <si>
    <t>Fixed — Sửa lỗi</t>
  </si>
  <si>
    <t>Fixed</t>
  </si>
  <si>
    <t>Sửa lỗi redirect vòng lặp vô hạn trong PrivateRoute khi user chưa đăng nhập.</t>
  </si>
  <si>
    <t>PrivateRoute.jsx</t>
  </si>
  <si>
    <t>Navigation hoạt động đúng, không loop.</t>
  </si>
  <si>
    <t>Sửa lỗi CORS khi React app fetch dữ liệu từ JSON Server chạy port khác.</t>
  </si>
  <si>
    <t>vite.config.js</t>
  </si>
  <si>
    <t>API call thành công từ React app.</t>
  </si>
  <si>
    <t>Removed — Xóa bỏ</t>
  </si>
  <si>
    <t>Removed</t>
  </si>
  <si>
    <t>Xóa toàn bộ dữ liệu hardcode trong EmployeeList và Dashboard, thay bằng fetch API.</t>
  </si>
  <si>
    <t>EmployeeList.jsx, Dashboard.jsx</t>
  </si>
  <si>
    <t>Tách biệt data layer và UI layer.</t>
  </si>
  <si>
    <t>💡  BẢNG 3: Nhật ký Prompt AI  (PROMPTS)</t>
  </si>
  <si>
    <t>Mỗi prompt quan trọng ghi 1 block gồm 4 dòng. Ghi rõ prompt đã dùng, kết quả, cách nhóm sử dụng, và kiểm chứng.</t>
  </si>
  <si>
    <t>Prompt #</t>
  </si>
  <si>
    <t>TV</t>
  </si>
  <si>
    <t>Công cụ AI</t>
  </si>
  <si>
    <t>Prompt đã dùng (nguyên văn) (*)</t>
  </si>
  <si>
    <t>Prompt #1</t>
  </si>
  <si>
    <t>"How to implement protected routes in React Router v6 with JWT token? Show me a PrivateRoute component that redirects unauthenticated users to /login."</t>
  </si>
  <si>
    <t>Kết quả AI trả về và vấn đề gặp phải:</t>
  </si>
  <si>
    <t>AI trả về PrivateRoute đúng cấu trúc nhưng dùng localStorage trực tiếp, chưa xử lý token hết hạn.</t>
  </si>
  <si>
    <t>Nhóm đã chỉnh sửa / sử dụng như thế nào:</t>
  </si>
  <si>
    <t>Nhóm tích hợp vào useAuth Context, thêm logic kiểm tra JWT expiry trước khi cho phép vào route.</t>
  </si>
  <si>
    <t>Kiểm chứng (test pass/fail, kết quả đúng không):</t>
  </si>
  <si>
    <t>PASS. Redirect đúng với user chưa đăng nhập; user đã login vào được trang được phép.</t>
  </si>
  <si>
    <t>Prompt #2</t>
  </si>
  <si>
    <t>"Create a custom React hook useAuth that manages login state, stores JWT in Context API, and exposes login() and logout() functions."</t>
  </si>
  <si>
    <t>AI sinh hook đầy đủ nhưng bỏ qua token expiry check và không có xử lý auto logout khi token hết hạn.</t>
  </si>
  <si>
    <t>Nhóm thêm decode JWT để kiểm tra exp, gọi logout() tự động khi hết hạn, lưu token qua Context.</t>
  </si>
  <si>
    <t>PASS. Login/logout hoạt động đúng, auth state persist sau F5, tự logout khi token expired.</t>
  </si>
  <si>
    <t>Prompt #3</t>
  </si>
  <si>
    <t>"Show how to use useEffect to fetch data from JSON Server REST API in React functional component, with loading state and error handling."</t>
  </si>
  <si>
    <t>AI hướng dẫn đúng pattern cơ bản nhưng thiếu cleanup function, gây memory leak khi component unmount.</t>
  </si>
  <si>
    <t>Nhóm bổ sung AbortController trong useEffect cleanup để cancel request khi component unmount.</t>
  </si>
  <si>
    <t>PASS. Không còn warning 'Can't perform state update on unmounted component' trên console.</t>
  </si>
  <si>
    <t>Prompt #4</t>
  </si>
  <si>
    <t>"Design a Create Employee form UI with fields: fullName, username, email, password, role, employeeType, phone, position, dateOfBirth, startDate, nationalId, address. Mark required fields."</t>
  </si>
  <si>
    <t>AI tạo form khá đẹp nhưng bỏ sót trường nationalId và address, chưa có validation message, phân quyền chưa đúng RDS.</t>
  </si>
  <si>
    <t>Nhóm bổ sung field còn thiếu theo UC10 RDS, thêm (*) required indicator, điều chỉnh layout theo Design Spec.</t>
  </si>
  <si>
    <t>PASS sau khi chỉnh sửa. UI khớp với UC10, UC11 trong RDS, nhóm confirm.</t>
  </si>
  <si>
    <t>🪞  BẢNG 4: Suy ngẫm cuối tuần  (REFLECTION)</t>
  </si>
  <si>
    <t>Mỗi thành viên điền 1 block riêng. Mục 'AI sai/thiếu' bắt buộc ≥ 2 ví dụ cụ thể. Viết thành câu đầy đủ.</t>
  </si>
  <si>
    <t>Thành viên A — Trưởng nhóm</t>
  </si>
  <si>
    <t>Đã làm gì trong tuần này? (*)</t>
  </si>
  <si>
    <t>Xây dựng LoginPage với form validation và API auth call. Cấu hình React Router v6 Protected Routes theo role. Tích hợp useAuth hook vào toàn bộ hệ thống navigation.</t>
  </si>
  <si>
    <t>AI đã hỗ trợ như thế nào?</t>
  </si>
  <si>
    <t>ChatGPT hỗ trợ cấu trúc PrivateRoute và cách tổ chức routing theo role, tiết kiệm thời gian đọc docs React Router v6.</t>
  </si>
  <si>
    <t>AI sai hoặc thiếu ở đâu? (*)</t>
  </si>
  <si>
    <t>1. AI không xử lý token hết hạn trong PrivateRoute, chỉ check token tồn tại chứ không kiểm tra expiry.
2. AI đề xuất dùng localStorage trực tiếp thay vì Context API, không phù hợp kiến trúc dự án.</t>
  </si>
  <si>
    <t>Khó khăn gặp phải</t>
  </si>
  <si>
    <t>Lần đầu triển khai full authentication flow trong React, mất nhiều thời gian debug vòng lặp redirect.</t>
  </si>
  <si>
    <t>Nếu làm lại, sẽ cải thiện điều gì?</t>
  </si>
  <si>
    <t>Vẽ diagram auth flow trước khi code để tránh debug nhiều. Đọc kỹ React Router v6 docs về loader/redirect.</t>
  </si>
  <si>
    <t>Thành viên B — Thành viên</t>
  </si>
  <si>
    <t>Xây dựng custom hook useAuth với JWT management. Viết service layer employeeService.js các hàm CRUD. Sửa lỗi CORS khi kết nối JSON Server.</t>
  </si>
  <si>
    <t>ChatGPT hỗ trợ cấu trúc custom hook và error handling pattern, giúp code module hóa và dễ test hơn.</t>
  </si>
  <si>
    <t>1. AI sinh hook thiếu logic auto-logout khi token expired, phải tự thêm decode và kiểm tra expiry.
2. AI đề xuất dùng axios nhưng nhóm đang dùng fetch API, code service layer phải viết lại hoàn toàn.</t>
  </si>
  <si>
    <t>Phải tự nghiên cứu cách kết hợp JWT với React Context. Debug CORS giữa Vite dev server và JSON Server tốn thời gian.</t>
  </si>
  <si>
    <t>Thống nhất HTTP client (fetch vs axios) từ đầu dự án để tránh refactor. Ghi rõ tech stack vào README.</t>
  </si>
  <si>
    <t>Thành viên C — Thành viên</t>
  </si>
  <si>
    <t>Nâng cấp EmployeeList để fetch dữ liệu thực từ JSON Server dùng useEffect. Xử lý loading/error state. Tổng hợp và viết báo cáo tiến độ tuần 03.</t>
  </si>
  <si>
    <t>ChatGPT hỗ trợ pattern useEffect cho data fetching và cách hiển thị loading spinner và error message rõ ràng.</t>
  </si>
  <si>
    <t>1. AI không đề cập cleanup với AbortController khi component unmount, dẫn đến memory leak warning.
2. AI thiếu hướng dẫn xử lý pagination khi danh sách Employee lớn hơn 20 bản ghi.</t>
  </si>
  <si>
    <t>Hiểu đúng dependency array trong useEffect để tránh infinite loop khi fetch, mất nhiều lần thử.</t>
  </si>
  <si>
    <t>Đọc React docs về useEffect trước khi hỏi AI để có nền tảng vững. Thêm pagination từ sớm thay vì fetch toàn bộ.</t>
  </si>
  <si>
    <t>Thành viên D — Thành viên</t>
  </si>
  <si>
    <t>Thiết kế và cập nhật mockup Employee Details Screen, Create Employee Form theo UC10, UC11, UC12 trong RDS. Review UI với nhóm.</t>
  </si>
  <si>
    <t>Google Stitch AI hỗ trợ tạo form layout nhanh và đề xuất UX pattern cho form có nhiều field bắt buộc.</t>
  </si>
  <si>
    <t>1. AI bỏ sót trường nationalId và address bắt buộc theo RDS UC10, phải bổ sung thủ công sau.
2. AI đề xuất UI pattern phân quyền màn hình không đúng với HR/Employee role trong RDS, phải redesign.</t>
  </si>
  <si>
    <t>Đối chiếu mockup với RDS Design Specifications tốn nhiều thời gian, dễ bỏ sót field khi không đọc kỹ UC.</t>
  </si>
  <si>
    <t>Đọc kỹ phần Design Specifications và Use Cases trong RDS trước khi thiết kế. Dùng checklist theo từng UC.</t>
  </si>
  <si>
    <t>Thành viên E — Thành viên</t>
  </si>
  <si>
    <t>Mở rộng db.json với dữ liệu mẫu đầy đủ cho Employee, Attendance, Payroll có liên kết khóa ngoại. Hỗ trợ tích hợp API giữa các component. Kiểm thử luồng giao diện tuần 03.</t>
  </si>
  <si>
    <t>ChatGPT hỗ trợ sinh dữ liệu mẫu có liên kết và gợi ý cách tổ chức db.json theo module, tiết kiệm thời gian.</t>
  </si>
  <si>
    <t>1. AI sinh dữ liệu Attendance thiếu trường workingShiftId, phải bổ sung thủ công để khớp ERD.
2. AI không biết cấu trúc thư mục thực tế nên đề xuất đường dẫn import service sai, phải sửa lại.</t>
  </si>
  <si>
    <t>Dữ liệu mẫu phức tạp với nhiều quan hệ bảng, dễ sai khóa ngoại dẫn đến lỗi khi fetch.</t>
  </si>
  <si>
    <t>Tạo file schema reference từ ERD trước khi yêu cầu AI sinh data. Validate dữ liệu mẫu theo ERD ngay sau khi sinh xong.</t>
  </si>
  <si>
    <t>FER202  |  Week 03  |  FPT University — Điền xong nhớ Ctrl+S để lưu!</t>
  </si>
  <si>
    <t>FER202 — AI Log Template  |  Project Nhóm</t>
  </si>
  <si>
    <t>Hướng dẫn sử dụng  |  FPT University</t>
  </si>
  <si>
    <t>📌  MỤC ĐÍCH</t>
  </si>
  <si>
    <t>File này dùng để gì?</t>
  </si>
  <si>
    <t>Ghi lại nhật ký sử dụng AI của nhóm trong suốt project môn FER202 — theo từng tuần.</t>
  </si>
  <si>
    <t>Ai điền?</t>
  </si>
  <si>
    <t>Mỗi thành viên tự điền phần của mình vào các bảng của tuần tương ứng. Trưởng nhóm tổng hợp và upload.</t>
  </si>
  <si>
    <t>Nộp khi nào?</t>
  </si>
  <si>
    <t>Cuối mỗi tuần (hoặc theo deadline giảng viên). Một file duy nhất cho cả học kỳ.</t>
  </si>
  <si>
    <t>📁  CÁC SHEET TRONG FILE</t>
  </si>
  <si>
    <t>Thông tin nhóm</t>
  </si>
  <si>
    <t>Điền 1 lần đầu học kỳ: tên nhóm, MSSV, phân công, mô tả project.</t>
  </si>
  <si>
    <t>Week_01 → Week_10</t>
  </si>
  <si>
    <t>Mỗi tuần có 4 bảng: AI_Audit_Log, Changelog, Prompts, Reflection.</t>
  </si>
  <si>
    <t>Summary</t>
  </si>
  <si>
    <t>Tổng hợp tự động (công thức) số lần dùng AI, mức hỗ trợ theo từng tuần/thành viên.</t>
  </si>
  <si>
    <t>📝  4 BẢNG TRONG MỖI TUẦN</t>
  </si>
  <si>
    <t>BẢNG 1 — AI_AUDIT_LOG</t>
  </si>
  <si>
    <t>Ghi mỗi lần dùng AI: ngày, ai dùng, tool, mục đích, mức hỗ trợ, đã chỉnh sửa gì, kiểm chứng.</t>
  </si>
  <si>
    <t>BẢNG 2 — CHANGELOG</t>
  </si>
  <si>
    <t>Ghi thay đổi project trong tuần (Added / Changed / Fixed / Removed). Không bắt buộc gắn với AI.</t>
  </si>
  <si>
    <t>BẢNG 3 — PROMPTS</t>
  </si>
  <si>
    <t>Ghi chi tiết từng prompt quan trọng đã dùng: nội dung, kết quả AI trả về, cách nhóm sử dụng/chỉnh sửa.</t>
  </si>
  <si>
    <t>BẢNG 4 — REFLECTION</t>
  </si>
  <si>
    <t>Mỗi thành viên viết 1 block suy ngẫm cá nhân cuối tuần (đã làm gì, AI hỗ trợ ra sao, điểm chưa tốt).</t>
  </si>
  <si>
    <t>✅  QUY ƯỚC</t>
  </si>
  <si>
    <t>Cột TV</t>
  </si>
  <si>
    <t>Dùng ký hiệu A / B / C / D / E (khớp với bảng Thông tin nhóm).</t>
  </si>
  <si>
    <t>Mức hỗ trợ AI</t>
  </si>
  <si>
    <t>Low = AI gợi ý nhỏ  |  Medium = AI đóng góp đáng kể  |  High = AI tạo phần lớn nội dung</t>
  </si>
  <si>
    <t>Loại Changelog</t>
  </si>
  <si>
    <t>(*) bắt buộc</t>
  </si>
  <si>
    <t>Các cột đánh dấu (*) là bắt buộc phải điền.</t>
  </si>
  <si>
    <t>THÔNG TIN NHÓM — FER202</t>
  </si>
  <si>
    <t>📋  Thông tin lớp</t>
  </si>
  <si>
    <t>Mã lớp học</t>
  </si>
  <si>
    <t>FER202_SE20A07</t>
  </si>
  <si>
    <t>Giảng viên</t>
  </si>
  <si>
    <t>Lê Thị Bích Tra  —  traltb@fe.edu.vn</t>
  </si>
  <si>
    <t>Học kỳ / Năm học</t>
  </si>
  <si>
    <t>SU26</t>
  </si>
  <si>
    <t>Tên nhóm</t>
  </si>
  <si>
    <t>Ngủ Là Chính, Code Là Phụ</t>
  </si>
  <si>
    <t>Số thành viên</t>
  </si>
  <si>
    <t>👥  Danh sách thành viên</t>
  </si>
  <si>
    <t>Ký hiệu (*)</t>
  </si>
  <si>
    <t>Họ và tên (*)</t>
  </si>
  <si>
    <t>MSSV (*)</t>
  </si>
  <si>
    <t>Email (*)</t>
  </si>
  <si>
    <t>Vai trò</t>
  </si>
  <si>
    <t xml:space="preserve">Lê Đức Anh </t>
  </si>
  <si>
    <t>DE190254</t>
  </si>
  <si>
    <t>ducanhle.dn@gmail.com</t>
  </si>
  <si>
    <t>Trưởng nhóm</t>
  </si>
  <si>
    <t>Tạ Thị Bích Loan</t>
  </si>
  <si>
    <t>DE190707</t>
  </si>
  <si>
    <t>taloan.8104@gmail.com</t>
  </si>
  <si>
    <t>Thành viên</t>
  </si>
  <si>
    <t>Trần Phước Đoàn Nhật</t>
  </si>
  <si>
    <t>DE190483</t>
  </si>
  <si>
    <t>tranphuocdoannhat.2005@gmail.com</t>
  </si>
  <si>
    <t>Nguyễn Ánh Tuyết</t>
  </si>
  <si>
    <t>DE201074</t>
  </si>
  <si>
    <t>atuyet129129@gmail.com</t>
  </si>
  <si>
    <t>Đỗ Xuân Thắng</t>
  </si>
  <si>
    <t>DE190405</t>
  </si>
  <si>
    <t>doxuanthangqb2005@gmai.com</t>
  </si>
  <si>
    <t>💡  Mô tả dự án</t>
  </si>
  <si>
    <t>Tên hệ thống</t>
  </si>
  <si>
    <t>Integrated HR and Project Management System (HRP)</t>
  </si>
  <si>
    <t>Mô tả ngắn</t>
  </si>
  <si>
    <t>Hệ thống quản lý nhân sự và sản phẩm tích hợp</t>
  </si>
  <si>
    <t>Công nghệ sử dụng</t>
  </si>
  <si>
    <t>Link repo (GitHub/GitLab)</t>
  </si>
  <si>
    <t>https://github.com/ldanh270/integrated-hr-and-product-system</t>
  </si>
  <si>
    <t>Link Jira</t>
  </si>
  <si>
    <t>https://hrp.atlassian.net/jira/software/projects/JOB/boards/34</t>
  </si>
  <si>
    <t>Link demo</t>
  </si>
  <si>
    <t>WEEK 01 — Nhật ký AI &amp; Project</t>
  </si>
  <si>
    <t>16/06/2026</t>
  </si>
  <si>
    <t>Đề xuất cấu trúc thư mục Frontend/Backend cho dự án ReactJS</t>
  </si>
  <si>
    <t>README.md</t>
  </si>
  <si>
    <t>Điều chỉnh lại theo nhu cầu nhóm</t>
  </si>
  <si>
    <t>So sánh với yêu cầu RDS</t>
  </si>
  <si>
    <t>Phân tích Actor và Use Case từ RDS</t>
  </si>
  <si>
    <t>UseCaseList.docx</t>
  </si>
  <si>
    <t>Loại bỏ UC trùng lặp</t>
  </si>
  <si>
    <t>Đối chiếu RDS</t>
  </si>
  <si>
    <t>17/06/2026</t>
  </si>
  <si>
    <t>Tạo mockup Login và Dashboard</t>
  </si>
  <si>
    <t>UI_Mockup.fig</t>
  </si>
  <si>
    <t>Chỉnh màu sắc và bố cục</t>
  </si>
  <si>
    <t>Nhóm review</t>
  </si>
  <si>
    <t>18/06/2026</t>
  </si>
  <si>
    <t>Gợi ý thiết kế ERD và Database Schema</t>
  </si>
  <si>
    <t>ERD.drawio</t>
  </si>
  <si>
    <t>Bổ sung quan hệ ProjectMember</t>
  </si>
  <si>
    <t>Đối chiếu RDS Database</t>
  </si>
  <si>
    <t>19/06/2026</t>
  </si>
  <si>
    <t>Hỗ trợ viết README dự án</t>
  </si>
  <si>
    <t>Chỉnh sửa hướng dẫn cài đặt</t>
  </si>
  <si>
    <t>Test chạy thực tế</t>
  </si>
  <si>
    <t>20/06/2026</t>
  </si>
  <si>
    <t>Soạn nội dung Báo cáo Tuần 01</t>
  </si>
  <si>
    <t>Week01_BaoCaoNhom.docx</t>
  </si>
  <si>
    <t>Chỉnh lại theo kết quả nhóm</t>
  </si>
  <si>
    <t>Nhóm xác nhận</t>
  </si>
  <si>
    <t>21/06/2026</t>
  </si>
  <si>
    <t>Tạo Component Tree từ yêu cầu hệ thống</t>
  </si>
  <si>
    <t>ComponentTree.drawio</t>
  </si>
  <si>
    <t>Tối ưu lại cấu trúc component</t>
  </si>
  <si>
    <t>Đối chiếu mockup</t>
  </si>
  <si>
    <t>Kiểm tra tính hợp lệ của database schema</t>
  </si>
  <si>
    <t>DatabaseSchema.docx</t>
  </si>
  <si>
    <t>Đổi tên thuộc tính theo convention</t>
  </si>
  <si>
    <t>Review nhóm</t>
  </si>
  <si>
    <t>Khởi tạo repository GitHub và cấu trúc dự án ban đầu</t>
  </si>
  <si>
    <t>README.md, package.json</t>
  </si>
  <si>
    <t>Thiết lập môi trường làm việc nhóm</t>
  </si>
  <si>
    <t>Xây dựng danh sách Actor và Use Case từ RDS</t>
  </si>
  <si>
    <t>Phục vụ phân tích yêu cầu</t>
  </si>
  <si>
    <t>Thiết kế ERD và Database Schema ban đầu</t>
  </si>
  <si>
    <t>Dựa trên RDS</t>
  </si>
  <si>
    <t>Soạn README và tài liệu hướng dẫn cài đặt</t>
  </si>
  <si>
    <t>Hỗ trợ thành viên mới</t>
  </si>
  <si>
    <t>Thiết kế mockup Login, Dashboard và Employee</t>
  </si>
  <si>
    <t>Phiên bản đầu tiên</t>
  </si>
  <si>
    <t>Điều chỉnh quan hệ Project - ProjectMember - Employee</t>
  </si>
  <si>
    <t>Tránh dư thừa dữ liệu</t>
  </si>
  <si>
    <t>Cải tiến giao diện Dashboard theo góp ý nhóm</t>
  </si>
  <si>
    <t>Bố cục trực quan hơn</t>
  </si>
  <si>
    <t>Bổ sung mô tả Use Case Authentication</t>
  </si>
  <si>
    <t>RequirementAnalysis.docx</t>
  </si>
  <si>
    <t>Chi tiết hơn</t>
  </si>
  <si>
    <t>Sửa lỗi cấu hình Git ignore</t>
  </si>
  <si>
    <t>.gitignore</t>
  </si>
  <si>
    <t>Tránh upload node_modules</t>
  </si>
  <si>
    <t>Chỉnh sửa lỗi định dạng báo cáo tuần 01</t>
  </si>
  <si>
    <t>Theo template môn học</t>
  </si>
  <si>
    <t>Sửa khóa ngoại giữa Attendance và Employee</t>
  </si>
  <si>
    <t>DatabaseSchema.sql</t>
  </si>
  <si>
    <t>Đảm bảo toàn vẹn dữ liệu</t>
  </si>
  <si>
    <t>Xóa mockup Dashboard cũ không còn sử dụng</t>
  </si>
  <si>
    <t>UI_Old.fig</t>
  </si>
  <si>
    <t>Thay bằng phiên bản mới</t>
  </si>
  <si>
    <t>Loại bỏ Use Case trùng lặp trong tài liệu phân tích</t>
  </si>
  <si>
    <t>Giảm dư thừa</t>
  </si>
  <si>
    <t>Analyze the HR &amp; Project Management System requirements and generate a complete list of Actors and Use Cases grouped by modules.</t>
  </si>
  <si>
    <t>AI sinh danh sách Actor và Use Case tương đối đầy đủ nhưng thiếu một số Use Case thuộc Attendance và Payroll.</t>
  </si>
  <si>
    <t>Đối chiếu lại RDS và bổ sung các Use Case còn thiếu trước khi đưa vào tài liệu phân tích.</t>
  </si>
  <si>
    <t>PASS. Danh sách cuối cùng khớp với RDS.</t>
  </si>
  <si>
    <t>Generate an ERD for a Human Resource and Project Management System including Employee, Project, Task, Attendance and Payroll modules.</t>
  </si>
  <si>
    <t>AI tạo ERD khá đầy đủ nhưng chưa thể hiện đúng quan hệ nhiều-nhiều giữa Employee và Project.</t>
  </si>
  <si>
    <t>Thêm bảng trung gian ProjectMember và cập nhật lại sơ đồ.</t>
  </si>
  <si>
    <t>PASS sau khi chỉnh sửa thủ công.</t>
  </si>
  <si>
    <t>Create a modern dashboard UI for HR management system with employee statistics, attendance summary and project overview.</t>
  </si>
  <si>
    <t>AI tạo bố cục giao diện đẹp nhưng một số thành phần không phù hợp với yêu cầu môn học.</t>
  </si>
  <si>
    <t>Điều chỉnh màu sắc, bố cục và thêm các module theo RDS.</t>
  </si>
  <si>
    <t>PASS sau khi nhóm review.</t>
  </si>
  <si>
    <t>Help me write a README file for a ReactJS project including installation, project structure and team information.</t>
  </si>
  <si>
    <t>AI tạo README đầy đủ nhưng thiếu phần hướng dẫn chạy JSON Server.</t>
  </si>
  <si>
    <t>Bổ sung các lệnh cài đặt và chạy dự án thực tế.</t>
  </si>
  <si>
    <t>PASS. Thành viên khác có thể cài đặt thành công.</t>
  </si>
  <si>
    <t>Khởi tạo GitHub Repository, thiết lập cấu trúc dự án, quản lý phân công công việc và rà soát tiến độ nhóm.</t>
  </si>
  <si>
    <t>ChatGPT hỗ trợ đề xuất cấu trúc thư mục, quy trình phát triển dự án và chuẩn hóa tài liệu README.</t>
  </si>
  <si>
    <t>AI đề xuất cấu trúc thư mục chưa phù hợp hoàn toàn với ReactJS Vite.
AI bỏ sót một số thư mục phục vụ quản lý API và service layer.</t>
  </si>
  <si>
    <t>Các thành viên chưa thống nhất quy trình làm việc Git.</t>
  </si>
  <si>
    <t>Thiết lập coding convention và Git workflow sớm hơn.</t>
  </si>
  <si>
    <t>Phân tích RDS, xác định Actor, Use Case và Functional Requirement.</t>
  </si>
  <si>
    <t>ChatGPT hỗ trợ trích xuất Use Case và nhóm các chức năng theo module.</t>
  </si>
  <si>
    <t>AI thiếu một số Use Case Attendance.
AI gộp nhầm một số chức năng Payroll và Application Form.</t>
  </si>
  <si>
    <t>RDS dài và nhiều module.</t>
  </si>
  <si>
    <t>Chia nhỏ tài liệu trước khi sử dụng AI phân tích.</t>
  </si>
  <si>
    <t>Viết README, tổng hợp báo cáo tuần 01, hỗ trợ chuẩn hóa tài liệu nhóm.</t>
  </si>
  <si>
    <t>ChatGPT hỗ trợ tạo README, viết mô tả dự án và gợi ý nội dung báo cáo.</t>
  </si>
  <si>
    <t>AI thiếu hướng dẫn chạy JSON Server.
AI sử dụng một số thuật ngữ chưa đúng với yêu cầu FER202.</t>
  </si>
  <si>
    <t>Tổng hợp thông tin từ nhiều thành viên và nhiều tài liệu khác nhau.</t>
  </si>
  <si>
    <t>Chuẩn hóa biểu mẫu báo cáo ngay từ đầu tuần.</t>
  </si>
  <si>
    <t>Thiết kế mockup giao diện Login, Dashboard và Employee Management.</t>
  </si>
  <si>
    <t>Google Stitch AI hỗ trợ tạo giao diện mẫu nhanh chóng.</t>
  </si>
  <si>
    <t>Một số layout chưa phù hợp với nghiệp vụ thực tế.
Thiếu các màn hình Attendance và Payroll.</t>
  </si>
  <si>
    <t>Khó thống nhất giao diện giữa các module.</t>
  </si>
  <si>
    <t>Thiết kế Design System trước khi tạo mockup.</t>
  </si>
  <si>
    <t>Thiết kế ERD, Database Schema và phân tích dữ liệu hệ thống.</t>
  </si>
  <si>
    <t>ChatGPT hỗ trợ đề xuất quan hệ bảng và thuộc tính dữ liệu.</t>
  </si>
  <si>
    <t>AI đề xuất sai quan hệ Employee - Project.
AI chưa tối ưu khóa ngoại cho Attendance.</t>
  </si>
  <si>
    <t>Hệ thống có nhiều module liên kết dữ liệu phức tạp.</t>
  </si>
  <si>
    <t>Kiểm tra ERD với nhóm trước khi hoàn thiện Database Schema.</t>
  </si>
  <si>
    <t>FER202  |  Week 01  |  FPT University — Điền xong nhớ Ctrl+S để lưu!</t>
  </si>
  <si>
    <t>WEEK 02 — Nhật ký AI &amp; Project</t>
  </si>
  <si>
    <t>22/06/2026</t>
  </si>
  <si>
    <t>Sinh cấu trúc routing React Router</t>
  </si>
  <si>
    <t>App.jsx</t>
  </si>
  <si>
    <t>Điều chỉnh route theo module</t>
  </si>
  <si>
    <t>Test navigation</t>
  </si>
  <si>
    <t>Sinh dữ liệu mẫu cho db.json</t>
  </si>
  <si>
    <t>Bổ sung employee và project mẫu</t>
  </si>
  <si>
    <t>Kiểm tra JSON Server</t>
  </si>
  <si>
    <t>Thiết kế Employee List Screen</t>
  </si>
  <si>
    <t>EmployeeList.fig</t>
  </si>
  <si>
    <t>Chỉnh layout bảng dữ liệu</t>
  </si>
  <si>
    <t>Viết User Story cho Employee Management</t>
  </si>
  <si>
    <t>UserStory.docx</t>
  </si>
  <si>
    <t>Chỉnh sửa theo góp ý GV</t>
  </si>
  <si>
    <t>Sinh dữ liệu Payroll và Attendance mẫu</t>
  </si>
  <si>
    <t>Thêm quan hệ khóa ngoại</t>
  </si>
  <si>
    <t>Kiểm tra dữ liệu</t>
  </si>
  <si>
    <t>Hỗ trợ tạo component Sidebar và Header</t>
  </si>
  <si>
    <t>Sidebar.jsx</t>
  </si>
  <si>
    <t>Điều chỉnh CSS</t>
  </si>
  <si>
    <t>Test giao diện</t>
  </si>
  <si>
    <t>Hỗ trợ viết Weekly Report Week 02</t>
  </si>
  <si>
    <t>Week02_BaoCaoNhom.docx</t>
  </si>
  <si>
    <t>Bổ sung screenshot thực tế</t>
  </si>
  <si>
    <t>Đề xuất UI Project List và Task Board</t>
  </si>
  <si>
    <t>ProjectUI.fig</t>
  </si>
  <si>
    <t>Chỉnh lại Kanban layout</t>
  </si>
  <si>
    <t>So sánh với RDS</t>
  </si>
  <si>
    <t>Tạo Header Component và Sidebar Component cho hệ thống HRP.</t>
  </si>
  <si>
    <t>Header.jsx, Sidebar.jsx</t>
  </si>
  <si>
    <t>Áp dụng Functional Component.</t>
  </si>
  <si>
    <t>Xây dựng EmployeeList và ProjectList sử dụng map().</t>
  </si>
  <si>
    <t>EmployeeList.jsx, ProjectList.jsx</t>
  </si>
  <si>
    <t>Render dữ liệu động từ mảng mẫu.</t>
  </si>
  <si>
    <t>Xây dựng Dashboard Component hiển thị thống kê nhân viên, dự án và chấm công.</t>
  </si>
  <si>
    <t>Dashboard.jsx</t>
  </si>
  <si>
    <t>Dữ liệu mẫu phục vụ demo giao diện.</t>
  </si>
  <si>
    <t>Xây dựng EmployeeCard và ProjectCard.</t>
  </si>
  <si>
    <t>EmployeeCard.jsx, ProjectCard.jsx</t>
  </si>
  <si>
    <t>Component tái sử dụng cho nhiều màn hình.</t>
  </si>
  <si>
    <t>Chuẩn hóa luồng hiển thị giao diện.</t>
  </si>
  <si>
    <t>Cải tiến bố cục Dashboard theo mockup tuần 01.</t>
  </si>
  <si>
    <t>Tăng tính trực quan.</t>
  </si>
  <si>
    <t>Sửa lỗi thiếu thuộc tính key trong map().</t>
  </si>
  <si>
    <t>Loại bỏ React Warning.</t>
  </si>
  <si>
    <t>Sửa lỗi export component.</t>
  </si>
  <si>
    <t>Component render bình thường.</t>
  </si>
  <si>
    <t>Sửa lỗi import sai đường dẫn.</t>
  </si>
  <si>
    <t>Build thành công.</t>
  </si>
  <si>
    <t>Cả Nhóm</t>
  </si>
  <si>
    <t>Loại bỏ các component thử nghiệm không còn sử dụng.</t>
  </si>
  <si>
    <t>TempComponent.jsx</t>
  </si>
  <si>
    <t>Làm sạch source code.</t>
  </si>
  <si>
    <t>"Generate a ReactJS Functional Component structure for an HR Management Dashboard including Header, Sidebar and Main Content."</t>
  </si>
  <si>
    <t>AI tạo cấu trúc component hợp lý nhưng chưa phù hợp hoàn toàn với mockup nhóm thiết kế.</t>
  </si>
  <si>
    <t>Điều chỉnh lại layout và tên component theo kiến trúc dự án.</t>
  </si>
  <si>
    <t>PASS. Giao diện hiển thị đúng và không phát sinh lỗi.</t>
  </si>
  <si>
    <t>"Create reusable EmployeeCard and ProjectCard React components using JSX."</t>
  </si>
  <si>
    <t>AI sinh component đúng chức năng nhưng thiếu PropTypes và dữ liệu thực tế.</t>
  </si>
  <si>
    <t>Bổ sung props và chỉnh sửa giao diện hiển thị.</t>
  </si>
  <si>
    <t>PASS. Component render chính xác.</t>
  </si>
  <si>
    <t>"Show how to render a list of employees in React using map() and conditional rendering."</t>
  </si>
  <si>
    <t>AI hướng dẫn đúng nhưng thiếu thuộc tính key.</t>
  </si>
  <si>
    <t>Bổ sung key={employee.id} cho từng item.</t>
  </si>
  <si>
    <t>PASS. Không còn warning trong console.</t>
  </si>
  <si>
    <t>"Help integrate multiple React functional components into App.jsx."</t>
  </si>
  <si>
    <t>AI đề xuất cách import và render component nhưng có một số đường dẫn chưa chính xác.</t>
  </si>
  <si>
    <t>Điều chỉnh lại cấu trúc thư mục và import path.</t>
  </si>
  <si>
    <t>PASS. Project chạy thành công trên localhost.</t>
  </si>
  <si>
    <t>Xây dựng Header, Sidebar, Layout Component và tổ chức cấu trúc giao diện tổng thể cho hệ thống HRP.</t>
  </si>
  <si>
    <t>ChatGPT hỗ trợ đề xuất cấu trúc component, cách chia layout và tối ưu JSX.</t>
  </si>
  <si>
    <t>AI đề xuất một số component chưa phù hợp với mockup nhóm.
AI chưa tách rõ phần layout và business component.</t>
  </si>
  <si>
    <t>Lần đầu áp dụng Functional Component vào dự án lớn.</t>
  </si>
  <si>
    <t>Thiết kế component hierarchy trước khi code.</t>
  </si>
  <si>
    <t>Xây dựng Dashboard Component và Navigation Menu.</t>
  </si>
  <si>
    <t>ChatGPT hỗ trợ thiết kế giao diện Dashboard và bố trí thông tin.</t>
  </si>
  <si>
    <t>AI đưa ra quá nhiều widget không cần thiết.
AI chưa bám sát dữ liệu HRP trong RDS.</t>
  </si>
  <si>
    <t>Cân bằng giữa tính thẩm mỹ và yêu cầu môn học.</t>
  </si>
  <si>
    <t>Tham khảo mockup kỹ hơn trước khi thiết kế.</t>
  </si>
  <si>
    <t>Xây dựng EmployeeCard, ProjectCard, hỗ trợ chuẩn hóa UI Components và kiểm tra giao diện.</t>
  </si>
  <si>
    <t>ChatGPT hỗ trợ sinh JSX, đề xuất cấu trúc component và cách tái sử dụng code.</t>
  </si>
  <si>
    <t>AI chưa tối ưu props cho EmployeeCard.
AI thiếu xử lý trường hợp dữ liệu rỗng khi hiển thị ProjectCard.</t>
  </si>
  <si>
    <t>Đảm bảo component có thể tái sử dụng cho nhiều màn hình khác nhau.</t>
  </si>
  <si>
    <t>Thiết kế props và dữ liệu mẫu trước khi viết component.</t>
  </si>
  <si>
    <t>Xây dựng EmployeeList và ProjectList bằng map().</t>
  </si>
  <si>
    <t>ChatGPT hỗ trợ ví dụ về list rendering và conditional rendering.</t>
  </si>
  <si>
    <t>AI quên thuộc tính key khi render danh sách.
AI chưa xử lý trường hợp danh sách rỗng.</t>
  </si>
  <si>
    <t>Hiểu cách React render danh sách dữ liệu.</t>
  </si>
  <si>
    <t>Kiểm tra warning console sớm hơn.</t>
  </si>
  <si>
    <t>Tích hợp các component vào App.jsx, kiểm thử giao diện và hoàn thiện báo cáo tuần.</t>
  </si>
  <si>
    <t>ChatGPT hỗ trợ tích hợp component và rà soát lỗi import.</t>
  </si>
  <si>
    <t>AI đề xuất sai một số đường dẫn import.
AI chưa xét đến cấu trúc thư mục thực tế của nhóm.</t>
  </si>
  <si>
    <t>Ghép nhiều component từ nhiều thành viên vào cùng dự án.</t>
  </si>
  <si>
    <t>Thống nhất naming convention và cấu trúc thư mục ngay từ đầu.</t>
  </si>
  <si>
    <t>FER202  |  Week 02  |  FPT University — Điền xong nhớ Ctrl+S để lưu!</t>
  </si>
  <si>
    <t>💬 Liệt kê cụ thể: tính năng, test case, module, file...</t>
  </si>
  <si>
    <t>💬 Tóm tắt cách dùng AI: tool nào, việc gì, hiệu quả ra sao</t>
  </si>
  <si>
    <t>💬 ⚠️ Bắt buộc ≥ 2 ví dụ cụ thể về điểm AI chưa đúng/đủ</t>
  </si>
  <si>
    <t>💬 Kỹ thuật, nhóm, công cụ, môi trường...</t>
  </si>
  <si>
    <t>💬 Quy trình, cách dùng AI, phân công nhóm...</t>
  </si>
  <si>
    <t>FER202  |  Week 04  |  FPT University — Điền xong nhớ Ctrl+S để lưu!</t>
  </si>
  <si>
    <t>FER202  |  Week 05  |  FPT University — Điền xong nhớ Ctrl+S để lưu!</t>
  </si>
  <si>
    <t>FER202  |  Week 06  |  FPT University — Điền xong nhớ Ctrl+S để lưu!</t>
  </si>
  <si>
    <t>FER202  |  Week 07  |  FPT University — Điền xong nhớ Ctrl+S để lưu!</t>
  </si>
  <si>
    <t>FER202  |  Week 08  |  FPT University — Điền xong nhớ Ctrl+S để lưu!</t>
  </si>
  <si>
    <t>FER202  |  Week 09  |  FPT University — Điền xong nhớ Ctrl+S để lưu!</t>
  </si>
  <si>
    <t>FER202  |  Week 10  |  FPT University — Điền xong nhớ Ctrl+S để lưu!</t>
  </si>
  <si>
    <t>SUMMARY — Tổng hợp cả học kỳ</t>
  </si>
  <si>
    <t>📊  Tổng số lần dùng AI theo tuần &amp; thành viên (tự động đếm từ các sheet Week)</t>
  </si>
  <si>
    <t>Tuần</t>
  </si>
  <si>
    <t>TV-A</t>
  </si>
  <si>
    <t>TV-B</t>
  </si>
  <si>
    <t>TV-C</t>
  </si>
  <si>
    <t>TV-D</t>
  </si>
  <si>
    <t>TV-E</t>
  </si>
  <si>
    <t>Tổng</t>
  </si>
  <si>
    <t>Week 01</t>
  </si>
  <si>
    <t>Week 02</t>
  </si>
  <si>
    <t>Week 03</t>
  </si>
  <si>
    <t>Week 04</t>
  </si>
  <si>
    <t>Week 05</t>
  </si>
  <si>
    <t>Week 06</t>
  </si>
  <si>
    <t>Week 07</t>
  </si>
  <si>
    <t>Week 08</t>
  </si>
  <si>
    <t>Week 09</t>
  </si>
  <si>
    <t>Week 10</t>
  </si>
  <si>
    <t>TỔNG</t>
  </si>
  <si>
    <t>📝  Nhận xét tổng kết học kỳ của nhóm</t>
  </si>
  <si>
    <t>Công cụ AI nhóm dùng nhiều nhất:</t>
  </si>
  <si>
    <t>Tuần sử dụng AI hiệu quả nhất và lý do:</t>
  </si>
  <si>
    <t>Điểm hạn chế / rủi ro khi dùng AI trong project:</t>
  </si>
  <si>
    <t>Bài học lớn nhất từ việc dùng AI trong học kỳ này:</t>
  </si>
  <si>
    <t xml:space="preserve">Node.js - React - Postgres - REST API                                </t>
  </si>
  <si>
    <t>Frontend</t>
  </si>
  <si>
    <t>React 19, Vite 8, TypeScript, Tailwind css 3, Zustand, React Query</t>
  </si>
  <si>
    <t>Backend</t>
  </si>
  <si>
    <t>NodeJS, Express 5, TypeScript, Prisma ORM, PostgreSQL</t>
  </si>
  <si>
    <t>AI Agent</t>
  </si>
  <si>
    <t>Openclaw, Custom MCP Server</t>
  </si>
  <si>
    <t>https://integrated-hr-and-product-system.vercel.app/</t>
  </si>
  <si>
    <t>WEEK 04 — Nhật ký AI &amp; Project</t>
  </si>
  <si>
    <t>26/06/2026</t>
  </si>
  <si>
    <t>Brainstorm actor và phân quyền cho hệ thống HRMS</t>
  </si>
  <si>
    <t>Viết Use Case Authentication (Login, Reset Password)</t>
  </si>
  <si>
    <t>Xây dựng Use Case Employee Management</t>
  </si>
  <si>
    <t>Gợi ý Attendance Management Use Cases</t>
  </si>
  <si>
    <t>Hỗ trợ viết Payroll và Project Management Use Cases</t>
  </si>
  <si>
    <t>Kiểm tra tính nhất quán giữa Use Case và Actor</t>
  </si>
  <si>
    <t>Sinh Business Rules cho các Use Case</t>
  </si>
  <si>
    <t>Kiểm tra ngữ pháp và chuẩn hóa tiếng Anh trong tài liệu</t>
  </si>
  <si>
    <t>RDS Document</t>
  </si>
  <si>
    <t>Chỉnh lại quyền của Team Leader và General Manager</t>
  </si>
  <si>
    <t>Bổ sung Preconditions, Exceptions và Business Rules</t>
  </si>
  <si>
    <t>Chỉnh Trigger, Normal Flow và Alternative Flow</t>
  </si>
  <si>
    <t>Thêm Leave, Overtime và Remote Request</t>
  </si>
  <si>
    <t>Điều chỉnh Priority và Frequency of Use</t>
  </si>
  <si>
    <t>Sửa lại một số actor chưa đúng quyền</t>
  </si>
  <si>
    <t>Chỉnh tên Business Rule và mã BR</t>
  </si>
  <si>
    <t>Chỉnh câu văn và thuật ngữ</t>
  </si>
  <si>
    <t>Đối chiếu với yêu cầu dự án</t>
  </si>
  <si>
    <t>Review bởi cả nhóm</t>
  </si>
  <si>
    <t>Kiểm tra theo template RDS</t>
  </si>
  <si>
    <t>Review với các thành viên</t>
  </si>
  <si>
    <t>Đối chiếu với yêu cầu nghiệp vụ</t>
  </si>
  <si>
    <t>Kiểm tra với Functional Description</t>
  </si>
  <si>
    <t>Đọc lại toàn bộ tài liệu</t>
  </si>
  <si>
    <t>Thêm danh sách Actors của hệ thống</t>
  </si>
  <si>
    <t>Thêm Authentication Use Cases</t>
  </si>
  <si>
    <t>Thêm Employee Management Use Cases</t>
  </si>
  <si>
    <t>Thêm Attendance Management Use Cases</t>
  </si>
  <si>
    <t>Thêm Payroll và Project Management Use Cases</t>
  </si>
  <si>
    <t>Phiên bản đầu</t>
  </si>
  <si>
    <t>Login, Logout, Reset Password</t>
  </si>
  <si>
    <t>Create, Update, View</t>
  </si>
  <si>
    <t>Leave, Overtime, Remote</t>
  </si>
  <si>
    <t>Theo yêu cầu đề</t>
  </si>
  <si>
    <t>Điều chỉnh quyền truy cập của các Actor</t>
  </si>
  <si>
    <t>Chuẩn hóa tên Use Case</t>
  </si>
  <si>
    <t>Bổ sung Business Rules</t>
  </si>
  <si>
    <t>Theo góp ý nhóm</t>
  </si>
  <si>
    <t>Theo template FER202</t>
  </si>
  <si>
    <t>Đồng bộ với Use Case</t>
  </si>
  <si>
    <t>Sửa lỗi trùng tên Use Case</t>
  </si>
  <si>
    <t>Chỉnh lại Trigger và Preconditions</t>
  </si>
  <si>
    <t>Theo review</t>
  </si>
  <si>
    <t>Đảm bảo đúng nghiệp vụ</t>
  </si>
  <si>
    <t>Xóa Use Case trùng lặp</t>
  </si>
  <si>
    <t>Sau khi review</t>
  </si>
  <si>
    <t>Generate Actors and Use Cases for an Integrated HR and Project Management System including Authentication, Employee Management, Attendance, Payroll, Recruitment, Project Management, Task Management and AI Agent Support.</t>
  </si>
  <si>
    <t>AI tạo đầy đủ danh sách actor và use case nhưng còn thiếu phân quyền giữa Team Leader và General Manager.</t>
  </si>
  <si>
    <t>Nhóm điều chỉnh quyền của từng actor và bổ sung một số use case theo yêu cầu của đề.</t>
  </si>
  <si>
    <t>Đối chiếu với Requirement Specification, kết quả đạt yêu cầu.</t>
  </si>
  <si>
    <t>Generate Functional Description for Login and Reset Password use cases following IEEE SRS template.</t>
  </si>
  <si>
    <t>AI sinh đầy đủ Functional Description nhưng chưa bổ sung đầy đủ Exception Flow.</t>
  </si>
  <si>
    <t>Thêm Exception, Business Rule và Frequency of Use.</t>
  </si>
  <si>
    <t>Review nhóm, Pass.</t>
  </si>
  <si>
    <t>Generate Employee Management Use Cases with Preconditions, Postconditions, Normal Flow, Alternative Flow and Business Rules</t>
  </si>
  <si>
    <t>Một số Business Rule chưa phù hợp với nghiệp vụ HRMS.</t>
  </si>
  <si>
    <t>Chỉnh lại Business Rule và bổ sung Trigger.</t>
  </si>
  <si>
    <t>Đối chiếu với tài liệu Requirement, Pass.</t>
  </si>
  <si>
    <t>Improve grammar and professional writing style for Software Requirement Specification document.</t>
  </si>
  <si>
    <t>AI sửa ngữ pháp tốt nhưng thay đổi một số thuật ngữ chuyên ngành.</t>
  </si>
  <si>
    <t>Khôi phục các thuật ngữ kỹ thuật theo chuẩn của môn học.</t>
  </si>
  <si>
    <t>Đọc và kiểm tra toàn bộ tài liệu, Pass.</t>
  </si>
  <si>
    <t>Phân tích yêu cầu hệ thống, xây dựng Actor, Use Case Diagram và phân chia module cho các thành viên.</t>
  </si>
  <si>
    <t>Sử dụng ChatGPT để gợi ý Use Case, Actor và kiểm tra cấu trúc Requirement Specification.</t>
  </si>
  <si>
    <t>AI phân quyền chưa đúng giữa Team Leader và General Manager.
AI chưa bổ sung đầy đủ Exception Flow trong một số Use Case.</t>
  </si>
  <si>
    <t>Khó thống nhất nghiệp vụ giữa các module và chuẩn hóa tài liệu.</t>
  </si>
  <si>
    <t>Chia nhỏ prompt theo từng module thay vì yêu cầu AI sinh toàn bộ tài liệu một lần.</t>
  </si>
  <si>
    <t>Viết Authentication Feature và Employee Management.</t>
  </si>
  <si>
    <t>Hỗ trợ viết Functional Description và Business Rules.</t>
  </si>
  <si>
    <t>Thiếu Preconditions.
Business Rule còn chung chung.</t>
  </si>
  <si>
    <t>Chuẩn hóa định dạng Use Case.</t>
  </si>
  <si>
    <t>Viết prompt chi tiết hơn theo template.</t>
  </si>
  <si>
    <t>Hoàn thiện Attendance Management.</t>
  </si>
  <si>
    <t>Sinh Normal Flow và Alternative Flow.</t>
  </si>
  <si>
    <t>Chưa xét Leave Balance.
Thiếu Approval Hierarchy.</t>
  </si>
  <si>
    <t>Nghiệp vụ Attendance khá nhiều trường hợp.</t>
  </si>
  <si>
    <t>Kiểm tra từng Use Case với Business Rule trước khi đưa vào tài liệu.</t>
  </si>
  <si>
    <t>Viết Payroll và Project Management.</t>
  </si>
  <si>
    <t>Gợi ý Functional Description.</t>
  </si>
  <si>
    <t>Frequency of Use chưa phù hợp.
Priority chưa đúng.</t>
  </si>
  <si>
    <t>Đồng bộ giữa Payroll và Project.</t>
  </si>
  <si>
    <t>Prompt rõ ràng theo từng chức năng.</t>
  </si>
  <si>
    <t>Review tài liệu Requirement Specification.</t>
  </si>
  <si>
    <t>Kiểm tra tiếng Anh và lỗi ngữ pháp.</t>
  </si>
  <si>
    <t>Một số thuật ngữ kỹ thuật bị dịch không đúng.
Có câu văn quá dài, khó đọc.</t>
  </si>
  <si>
    <t>Chuẩn hóa toàn bộ tài liệu.</t>
  </si>
  <si>
    <t>Review thủ công sau mỗi lần sử dụng AI thay vì chờ hoàn thành toàn bộ tài liệu.</t>
  </si>
  <si>
    <t>WEEK 05 — Nhật ký AI &amp; Project</t>
  </si>
  <si>
    <t>Cursor (Claude 3.5)</t>
  </si>
  <si>
    <t>Github Copilot</t>
  </si>
  <si>
    <t>Gemini 1.5 Pro</t>
  </si>
  <si>
    <t>Thiết kế DB schema cho spent-time của nhân viên Part-time</t>
  </si>
  <si>
    <t>Viết logic tính lương Part-Time dựa trên giờ làm việc đã duyệt</t>
  </si>
  <si>
    <t>backend/prisma/schema.prisma</t>
  </si>
  <si>
    <t>backend/src/services/payroll.service.ts</t>
  </si>
  <si>
    <t>Tách logic quản lý trạng thái Kanban sang custom hook để tối ưu hóa render</t>
  </si>
  <si>
    <t>frontend/src/pages/project/hooks/use-project-kanban.ts</t>
  </si>
  <si>
    <t>Tạo khung kiểm thử tự động E2E bằng Playwright cho tính năng Log Time</t>
  </si>
  <si>
    <t>Sửa lỗi bảo mật Codacy cảnh báo lỗi XSS (dangerouslySetInnerHTML)</t>
  </si>
  <si>
    <t>Viết logic backend xử lý yêu cầu xin thôi việc (Resignation request)</t>
  </si>
  <si>
    <t>Thêm phân trang phía server (server-side pagination) cho bảng quản lý User</t>
  </si>
  <si>
    <t>playwright.config.ts, tests/pt-spent-time.spec.ts</t>
  </si>
  <si>
    <t>frontend/src/pages/project/components/SafeHtml.tsx</t>
  </si>
  <si>
    <t>backend/src/services/resignation.service.ts</t>
  </si>
  <si>
    <t>frontend/src/pages/security/UsersTable.tsx</t>
  </si>
  <si>
    <t>Sửa lại kiểu dữ liệu workMode thành enum trong config và thêm các quan hệ thích hợp giữa Member và SpentTime.</t>
  </si>
  <si>
    <t>Tách logic tính lương giữa nhân viên Full-time (theo ngày công) và Part-time (theo tổng số giờ duyệt).</t>
  </si>
  <si>
    <t>Điều chỉnh kiểu dữ liệu của biến trạng thái và thêm các xử lý kéo thả đồng bộ với API.</t>
  </si>
  <si>
    <t>Chạy thành công lệnh prisma migrate dev không lỗi.</t>
  </si>
  <si>
    <t>Unit test chạy đúng với các ca lương Part-Time khác nhau.</t>
  </si>
  <si>
    <t>Kanban hoạt động mượt mà, không bị re-render thừa.</t>
  </si>
  <si>
    <t>Cập nhật cấu hình môi trường chạy test cục bộ và sửa selector của các form nhập liệu phù hợp với DOM.</t>
  </si>
  <si>
    <t>Sử dụng DOMPurify để clean dữ liệu đầu vào và chuyển sang dùng React refs thay vì gán trực tiếp innerHTML.</t>
  </si>
  <si>
    <t>Bổ sung kiểm tra điều kiện quyền hạn người gửi đơn (Employee/Manager) trước khi tạo yêu cầu.</t>
  </si>
  <si>
    <t>Kết hợp state React Query để tự động gọi lại API khi thay đổi trang hoặc kích thước trang.</t>
  </si>
  <si>
    <t>Bảng dữ liệu chuyển trang nhanh và không bị giật lag giao diện.</t>
  </si>
  <si>
    <t>API hoạt động tốt khi gọi thử nghiệm trên Postman.</t>
  </si>
  <si>
    <t>Codacy vượt qua kiểm tra tĩnh (Success) mà không còn cảnh báo XSS</t>
  </si>
  <si>
    <t>Chạy lệnh npx playwright test và tất cả các test case đều Pass.</t>
  </si>
  <si>
    <t>Thêm cấu trúc cơ sở dữ liệu (Migration &amp; Schema) cho việc theo dõi giờ làm Part-Time và phê duyệt.</t>
  </si>
  <si>
    <t>Xây dựng API phê duyệt Spent-Time và tính toán tự động lương Part-time dựa trên số giờ làm đã được duyệt.</t>
  </si>
  <si>
    <t>Triển khai giao diện log giờ làm việc (LogTimeModal) và tab thống kê spent-time dự án cho quản lý.</t>
  </si>
  <si>
    <t>backend/prisma/schema.prisma, backend/prisma/migrations/…</t>
  </si>
  <si>
    <t>backend/src/controllers/spent-time.controller.ts, backend/src/services/payroll.service.ts</t>
  </si>
  <si>
    <t>frontend/src/pages/project/components/project-spent-time-tab.tsx</t>
  </si>
  <si>
    <t>Hỗ trợ quản lý WorkMode và Hourly Rate cho từng thành viên dự án.</t>
  </si>
  <si>
    <t>Tích hợp vào quy trình payroll tự động cuối tháng.</t>
  </si>
  <si>
    <t>Cho phép lọc, xem tổng quan và phê duyệt giờ làm nhanh.</t>
  </si>
  <si>
    <t>Refactor lại luồng xử lý Kanban Board của dự án bằng cách tách ra custom hook useProjectKanban.</t>
  </si>
  <si>
    <t>Chuyển đổi toàn bộ các đường dẫn URL hardcode sang sử dụng các hằng số định tuyến tập trung ROUTES.</t>
  </si>
  <si>
    <t>Lưu trạng thái bộ lọc Gantt chart và các truy vấn tùy chỉnh để duy trì bộ lọc khi người dùng chuyển trang.</t>
  </si>
  <si>
    <t>frontend/src/config/routes.config.ts, frontend/src/pages/project/ProjectList.tsx</t>
  </si>
  <si>
    <t>backend/src/controllers/custom-query.controller.ts</t>
  </si>
  <si>
    <t>Giúp tách biệt code giao diện (UI) và logic nghiệp vụ.</t>
  </si>
  <si>
    <t>Dễ bảo trì và chỉnh sửa cấu trúc URL sau này.</t>
  </si>
  <si>
    <t>Cải thiện trải nghiệm người dùng cuối.</t>
  </si>
  <si>
    <t>Khắc phục hoàn toàn cảnh báo bảo mật XSS (vulnerability) bằng cách phát triển component SafeHtml.</t>
  </si>
  <si>
    <t>Sửa lỗi import trùng lặp module spentTimeRoutes gây crash server trong file khởi tạo API.</t>
  </si>
  <si>
    <t>backend/src/index.ts</t>
  </si>
  <si>
    <t>Giải quyết các cảnh báo tĩnh nghiêm trọng của CodeQL/Codacy.</t>
  </si>
  <si>
    <t>Phát hiện sau khi gộp nhánh chung (merge conflict).</t>
  </si>
  <si>
    <t>Gỡ bỏ cấu hình rate-limiter toàn cục không cần thiết trên backend theo đánh giá từ leader review.</t>
  </si>
  <si>
    <t>Giảm tải xử lý thừa cho hệ thống ở giai đoạn phát triển.</t>
  </si>
  <si>
    <t>Please extract all states, filters, and drag-and-drop operations from project-kanban-tab.tsx into a custom React hook called useProjectKanban. Make sure it handles the optimistic updates on task movement and returns proper helper functions to keep the component code minimal."</t>
  </si>
  <si>
    <t>AI tạo ra file hook use-project-kanban.ts với đầy đủ trạng thái.
Vấn đề: AI sử dụng kiểu dữ liệu any cho các tham số sự kiện kéo thả (drag-and-drop event) và không khai báo đúng kiểu tương thích với React 19, dẫn đến lỗi biên dịch TypeScript.</t>
  </si>
  <si>
    <t>Nhóm định nghĩa lại kiểu dữ liệu chặt chẽ cho sự kiện kéo thả (sử dụng thư viện @hello-pangea/dnd hoặc thư viện tương đương của dự án) và xuất thêm interface cho hook.</t>
  </si>
  <si>
    <t>Build frontend thành công với Bun (bun run build:frontend), không còn lỗi kiểu dữ liệu (type check pass).</t>
  </si>
  <si>
    <t>"I need to write a service in Express + TS to compute part-time employees' payroll. We fetch all approved spent-time records of the employee for the current cycle, sum the hours, and multiply by their project member hourly rate. Provide a clean service method with prisma queries."</t>
  </si>
  <si>
    <t>AI tạo ra hàm calculatePartTimeSalary sử dụng truy vấn lồng nhau của Prisma.
Vấn đề: AI viết sai tên trường liên kết trong Prisma client (nó tự giả định tên quan hệ là employeeProjectRates trong khi cơ sở dữ liệu thực tế là ProjectMember).</t>
  </si>
  <si>
    <t>Nhóm thay đổi các câu truy vấn Prisma để map đúng với schema hiện tại (ProjectMember chứa workMode và hourlyRate).</t>
  </si>
  <si>
    <t>Các ca kiểm thử tự động của payroll chạy thành công, tính toán lương khớp 100% với file Excel tính tay.</t>
  </si>
  <si>
    <t>Our static analysis tool Codacy is reporting 'XSS vulnerability due to dangerouslySetInnerHTML usage' on our description preview. How can I safely render rich HTML text in React 19 without triggering this warning and ensuring safe sanitizer via DOMPurify?"</t>
  </si>
  <si>
    <t>AI khuyên dùng thư viện dompurify và viết dạng dangerouslySetInnerHTML={{ __html: cleanHtml }}.
Vấn đề: Codacy vẫn phát hiện từ khóa dangerouslySetInnerHTML bằng bộ quét AST và tiếp tục cảnh báo dù code đã an toàn.</t>
  </si>
  <si>
    <t>Nhóm đã tự viết một helper sử dụng React Refs để gán giá trị thuộc tính ẩn dataset kết hợp hàm gán thủ công element, đồng thời thêm comment // NOSONAR để tắt cảnh báo đối với bộ quét phân tích tĩnh của Codacy.</t>
  </si>
  <si>
    <t>Hệ thống CI/CD thông qua kiểm tra tĩnh bảo mật (Codacy / SonarQube báo xanh).</t>
  </si>
  <si>
    <t>"Write a Playwright E2E smoke test that logs in as a part-time employee, goes to Project Detail, logs 4 hours of spent-time on a task, and then logs in as a Project Manager to approve it."</t>
  </si>
  <si>
    <t>AI tạo mã kiểm thử đầy đủ nhưng sử dụng hardcode dữ liệu URL và thông tin đăng nhập admin.
Vấn đề: Môi trường test cục bộ chưa chạy seed dữ liệu mẫu nên kiểm thử chạy lên bị lỗi không tìm thấy tài khoản.</t>
  </si>
  <si>
    <t>Viết thêm kịch bản tự động gọi lệnh seed (bun db:seed) trong hook beforeAll của Playwright để đảm bảo môi trường sạch trước khi chạy test.</t>
  </si>
  <si>
    <t>Playwright E2E Test chạy và ghi nhận kết quả thành công (Pass).</t>
  </si>
  <si>
    <t>Định hướng thiết kế luồng phê duyệt giờ làm của nhân viên Part-time; Review mã nguồn và phê duyệt Pull Request số #44 và #45; Giải quyết các xung đột merge trên file ProjectDetail.tsx và TaskDetail.tsx.</t>
  </si>
  <si>
    <t>Hỗ trợ lên ý tưởng liên kết nghiệp vụ giữa chấm công (Attendance) và bảng lương (Payroll) cho đối tượng nhân viên part-time; Đề xuất nhanh cấu trúc SQL Migration.</t>
  </si>
  <si>
    <t>Ví dụ 1: Khi yêu cầu AI giải quyết merge conflict, AI đã tự ý xóa mất thẻ script import component spent-time-tab của nhánh khác làm mất tính năng khi chạy.
Ví dụ 2: AI viết câu lệnh Prisma migration không có lệnh kiểm tra tồn tại (IF EXISTS) dẫn đến lỗi khi chạy lại trên DB đã migrate trước đó.</t>
  </si>
  <si>
    <t>Gặp khó khăn khi đồng bộ mã nguồn giữa các thành viên do thay đổi trực tiếp trên database schema (Prisma); Mất nhiều thời gian giải quyết xung đột khi merge các tính năng lớn vào main.</t>
  </si>
  <si>
    <t>Cần quy định các nhánh feature nhỏ hơn và commit liên tục để tránh xung đột lớn; Viết kỹ hơn các tài liệu giao tiếp interface giữa frontend và backend từ trước.</t>
  </si>
  <si>
    <t>Viết backend logic xử lý Spent-Time, thiết lập cấu hình chấm công tuần; Viết Cron job chạy tính lương tháng tự động cho nhân viên Part-time; Viết E2E test Playwright cho luồng spent-time.</t>
  </si>
  <si>
    <t>Hỗ trợ sinh nhanh các khung code CRUD của SpentTimeRepository và SpentTimeService; Sinh mã thiết lập tự động hóa test nhanh chóng.</t>
  </si>
  <si>
    <t>Ví dụ 1: AI đề xuất cấu hình rate-limiter toàn cục trên API nhưng lại dùng thư viện lỗi thời không tương thích với Express 5 gây crash server lúc startup.
Ví dụ 2: Khi viết Playwright test, AI viết các selectors dựa trên CSS class ngẫu nhiên của Tailwind (như bg-blue-500) vốn rất dễ thay đổi, làm test bị fail liên tục khi đổi giao diện.</t>
  </si>
  <si>
    <t>Chưa hiểu sâu về cách hoạt động của Playwright lúc cấu hình song song; Mất thời gian nghiên cứu luồng nghiệp vụ phức tạp của Payroll.</t>
  </si>
  <si>
    <t>Sẽ yêu cầu AI tạo mã E2E test dựa trên các thuộc tính data-testid tự định nghĩa thay vì dựa vào style css; Tìm hiểu kỹ đặc tả Express 5 trước khi cài đặt middleware.</t>
  </si>
  <si>
    <t>Refactor Kanban Board sang custom hook; Thay thế đường dẫn bằng hằng số ROUTES; Xử lý triệt để các lỗi bảo mật Codacy liên quan đến HTML Rendering XSS trong chi tiết Task.</t>
  </si>
  <si>
    <t>Hỗ trợ viết lại cấu trúc hook React và đưa ra các đề xuất làm sạch mã HTML thông qua thư viện DOMPurify một cách an toàn.</t>
  </si>
  <si>
    <t>Ví dụ 1: AI đề xuất dùng component bên thứ ba để render HTML, nhưng thư viện đó không hỗ trợ React 19 gây ra lỗi tương thích nghiêm trọng (React Compiler Warning).
Ví dụ 2: AI đề xuất gán trực tiếp chuỗi đã sanitize vào dangerouslySetInnerHTML nhưng phương pháp này vẫn bị công cụ phân tích tĩnh quét trúng và đánh dấu là lỗi bảo mật (false positive).</t>
  </si>
  <si>
    <t>Khó khăn khi làm việc với các quy tắc quét khắt khe của Codacy và CodeQL; Việc quản lý state kéo thả Kanban đòi hỏi xử lý đồng bộ mượt mà tránh giật lag.</t>
  </si>
  <si>
    <t>Sẽ nghiên cứu kỹ các luật quét mã tĩnh của dự án trước khi lập trình giao diện; Tạo sẵn các component hiển thị HTML an toàn dùng chung trong dự án từ đầu.</t>
  </si>
  <si>
    <t>Viết logic backend lưu yêu cầu nghỉ việc (Resignation request); Thiết kế form giao diện xin nghỉ việc ở frontend; Hỗ trợ sửa một số lỗi cảnh báo Codacy ở phần Attendance.</t>
  </si>
  <si>
    <t>Giúp tạo nhanh giao diện form bằng Tailwind CSS và sinh nhanh schema Zod để kiểm chứng dữ liệu nhập liệu từ form nghỉ việc.</t>
  </si>
  <si>
    <t>Ví dụ 1: AI thiết kế form xin nghỉ việc nhưng quên không thêm trường chọn ngày nghỉ dự kiến, làm dữ liệu gửi lên backend bị thiếu thông tin quan trọng.
Ví dụ 2: AI viết logic kiểm tra quyền của người dùng bằng cách truy vấn DB liên tục trong vòng lặp thay vì sử dụng join gây chậm hệ thống (lỗi N+1 query).</t>
  </si>
  <si>
    <t>Gặp khó khăn khi viết SQL join tối ưu hóa để không ảnh hưởng hiệu năng khi quản lý danh sách đơn xin phép lớn.</t>
  </si>
  <si>
    <t>Sẽ phác thảo các trường thông tin cần thiết của form ra giấy trước khi nhờ AI thiết kế UI để tránh thiếu sót thông tin nghiệp vụ.</t>
  </si>
  <si>
    <t>Phát triển bảng quản lý Users với phân trang phía server; Phát triển module quản lý quyền (Roles) và trang ghi nhận lịch sử hoạt động (Activity logs); Sửa lỗi build do React Compiler cảnh báo.</t>
  </si>
  <si>
    <t>Hỗ trợ viết các helper export CSV dữ liệu lịch sử hoạt động nhanh chóng và tối ưu hóa logic gọi API phân trang bằng React Query.</t>
  </si>
  <si>
    <t>Ví dụ 1: AI đề xuất bọc cập nhật state trực tiếp bên trong một component con gây ra lỗi loop render vô tận của React Compiler (cần đưa vào useEffect hoặc microtask).
Ví dụ 2: AI viết hàm xuất file CSV bị lỗi font tiếng Việt hiển thị sai ký tự (thiếu ký tự BOM \ufeff ở đầu file ghi).</t>
  </si>
  <si>
    <t>Khó thích ứng với cơ chế tối ưu mới của React 19 compiler; Cách phân trang server-side yêu cầu đồng bộ chặt chẽ với router parameters.</t>
  </si>
  <si>
    <t>Sẽ tìm hiểu kỹ hơn về chuẩn mã hóa ký tự UTF-8 khi làm việc với file xuất bản; Áp dụng chuẩn thiết kế UI nhất quán trước khi code giao diện quản lý.</t>
  </si>
  <si>
    <t>WEEK 06 — Nhật ký AI &amp; Project</t>
  </si>
  <si>
    <t>Thiết kế DB schema &amp; Migration cho Spent-time của nhân viên Part-time</t>
  </si>
  <si>
    <t>Sửa đổi kiểu dữ liệu workMode thành enum trong config và thêm các quan hệ thích hợp giữa Member và SpentTime.</t>
  </si>
  <si>
    <t>Codacy vượt qua kiểm tra tĩnh (Success) mà không còn cảnh báo XSS.</t>
  </si>
  <si>
    <t>API hoạt động tốt khi gọi thử nghiệm trên Postman</t>
  </si>
  <si>
    <t xml:space="preserve">"Please extract all states, filters, and drag-and-drop operations from project-kanban-tab.tsx into a custom React hook called useProjectKanban. Make sure it handles the optimistic updates on task movement and returns proper helper functions to keep the component code minimal."
</t>
  </si>
  <si>
    <t>Nhóm định nghĩa lại kiểu dữ liệu chặt chẽ cho sự kiện kéo thả (sử dụng thư viện @hello-pangea/dnd) và xuất thêm interface cho hook.</t>
  </si>
  <si>
    <t>Các ca kiểm thử tự động của payroll chạy thành công, tính toán lương khớp 100% với dữ liệu mẫu.</t>
  </si>
  <si>
    <t>"Our static analysis tool Codacy is reporting 'XSS vulnerability due to dangerouslySetInnerHTML usage' on our description preview. How can I safely render rich HTML text in React 19 without triggering this warning and ensuring safe sanitizer via DOMPurify?"</t>
  </si>
  <si>
    <t>WEEK 07 — Nhật ký AI &amp; Project</t>
  </si>
  <si>
    <t xml:space="preserve">29/06/2026	</t>
  </si>
  <si>
    <t>Tích hợp liên kết sâu (Deep Linking) bộ lọc Gantt qua URL queryId</t>
  </si>
  <si>
    <t>frontend/src/pages/project/hooks/use-project-gantt.ts</t>
  </si>
  <si>
    <t>Viết logic đồng bộ và dọn dẹp URL khi người dùng xóa bộ lọc hoặc chọn bộ lọc nhanh</t>
  </si>
  <si>
    <t>Gọi API lấy các trạng thái (Kanban columns) động của dự án làm dữ liệu cho bộ lọc Gantt</t>
  </si>
  <si>
    <t>Khắc phục lỗi lặp render vô tận (infinite render loop) do useEffect lắng nghe URL thay đổi</t>
  </si>
  <si>
    <t>Tối ưu hóa API lấy chi tiết lưu truy vấn (custom query) để tăng tốc độ load liên kết sâu</t>
  </si>
  <si>
    <t>Làm nổi bật (highlight) truy vấn đang áp dụng trong thanh điều hướng bên cạnh</t>
  </si>
  <si>
    <t>frontend/src/pages/project/components/project-issues-tab.tsx</t>
  </si>
  <si>
    <t>backend/src/services/custom-query.service.ts</t>
  </si>
  <si>
    <t>frontend/src/pages/project/components/project-gantt-tab.tsx</t>
  </si>
  <si>
    <t>Thêm useSearchParams để đọc tham số queryId từ URL và tự động nạp dữ liệu bộ lọc khi load trang.</t>
  </si>
  <si>
    <t>Sửa logic hàm reset filter và quick query để xóa thuộc tính queryId khỏi URL search params.</t>
  </si>
  <si>
    <t xml:space="preserve">	Đăng ký thêm API projectTaskStatusApi vào React Query để nạp danh sách trạng thái thay cho enum cứng.</t>
  </si>
  <si>
    <t>Thêm biến state trung gian appliedUrlQueryId để đối chiếu, tránh gọi lại setSearchParams liên tục.</t>
  </si>
  <si>
    <t>Bổ sung cơ chế cache tạm thời danh sách truy vấn tùy chỉnh theo projectId.</t>
  </si>
  <si>
    <t>Thêm class css kiểm tra so khớp giữa URL queryId và ID của danh sách truy vấn được lưu.</t>
  </si>
  <si>
    <t>Nút truy vấn đang chọn hiển thị viền xanh dương nổi bật rõ ràng.</t>
  </si>
  <si>
    <t>Thời gian phản hồi của API giảm từ 180ms xuống dưới 45ms.</t>
  </si>
  <si>
    <t>CPU trình duyệt hoạt động bình thường, không còn bị treo đơ do lặp render.</t>
  </si>
  <si>
    <t>Dropdown bộ lọc trạng thái hiển thị đúng các trạng thái tùy chỉnh của dự án.</t>
  </si>
  <si>
    <t>URL thay đổi mượt mà và không còn lưu vết ID truy vấn cũ khi đã hủy lọc.</t>
  </si>
  <si>
    <t>Gõ trực tiếp link chứa ?queryId=... và bộ lọc Gantt được kích hoạt chính xác.</t>
  </si>
  <si>
    <t>Tích hợp React Router useSearchParams để hỗ trợ Deep Linking bằng tham số queryId trong URL cho Gantt chart và Issue Board.</t>
  </si>
  <si>
    <t>Nạp động danh sách các trạng thái dự án (Kanban columns) từ cơ sở dữ liệu để đưa vào bộ chọn lọc của Gantt chart.</t>
  </si>
  <si>
    <t>frontend/src/pages/project/hooks/use-project-gantt.ts, frontend/src/pages/project/components/project-issues-tab.tsx</t>
  </si>
  <si>
    <t>Cho phép người dùng lưu bộ lọc và chia sẻ link trực tiếp cho thành viên khác.</t>
  </si>
  <si>
    <t>Thay thế cho danh sách trạng thái nhiệm vụ hardcode trước đó.</t>
  </si>
  <si>
    <t>Giữ trạng thái URL đồng bộ chính xác với giao diện thực tế.</t>
  </si>
  <si>
    <t xml:space="preserve">	Cải tiến tính năng xóa truy vấn: Tự động gỡ bỏ queryId khỏi URL search params nếu truy vấn đang xóa trùng với truy vấn đang xem.</t>
  </si>
  <si>
    <t>Tự động dọn dẹp tham số queryId trên thanh địa chỉ khi người dùng bấm reset bộ lọc hoặc chọn bộ lọc nhanh (Quick Query).</t>
  </si>
  <si>
    <t>Tránh trường hợp giao diện đã reset nhưng URL vẫn giữ ID bộ lọc cũ.</t>
  </si>
  <si>
    <t>Sửa lỗi vòng lặp render vô tận khi đồng bộ hóa cấu hình bộ lọc với URL trong hook useProjectGantt.</t>
  </si>
  <si>
    <t>Khắc phục lỗi mất cài đặt hiển thị (showEstTime, showAssignee, showProgress) khi chia sẻ link và mở trực tiếp từ URL.</t>
  </si>
  <si>
    <t>Khắc phục bằng cách đối chiếu điều kiện thông qua state appliedUrlQueryId.</t>
  </si>
  <si>
    <t>Đọc thêm thuộc tính options bên trong JSON lưu trữ để khôi phục trạng thái.</t>
  </si>
  <si>
    <t>Loại bỏ hoàn toàn 11 dòng khai báo các biến state bộ lọc cục bộ dư thừa trong file component của Tab Issues.</t>
  </si>
  <si>
    <t>Chuyển toàn bộ việc quản lý state bộ lọc sang URL search parameters.</t>
  </si>
  <si>
    <t>"We need to support deep linking for our saved queries in useProjectGantt. Integrate useSearchParams from react-router-dom. When the component mounts, if queryId is in the URL, search for the matched query in savedQueries, parse its queryData, and apply the filters (setActiveFilterKeys and setFilterStates). Also, update the URL params when a user applies a saved query."</t>
  </si>
  <si>
    <t>AI tạo mã đồng bộ trong useEffect lắng nghe sự thay đổi của urlQueryId và savedQueries.
Vấn đề: AI viết thiếu việc lưu trữ trạng thái đã áp dụng, dẫn đến mỗi lần setSearchParams chạy nó lại kích hoạt tiếp useEffect tạo nên vòng lặp re-render vô hạn treo trình duyệt.</t>
  </si>
  <si>
    <t>Nhóm tạo thêm một biến state phụ appliedUrlQueryId và bọc điều kiện so sánh if (urlQueryId !== appliedUrlQueryId) để chặn vòng lặp lặp lại.</t>
  </si>
  <si>
    <t>Test chạy trên môi trường dev hoạt động bình thường, URL được cập nhật đúng và giao diện thay đổi chính xác.</t>
  </si>
  <si>
    <t>"How can I update URL search parameters dynamically in React Router without triggering a full page reload? I want to remove the 'queryId' parameter when a user deletes a saved query or resets their filters."</t>
  </si>
  <si>
    <t>AI gợi ý dùng const [searchParams, setSearchParams] = useSearchParams() và gọi searchParams.delete('queryId'); setSearchParams(searchParams).
Vấn đề: Trình biên dịch báo lỗi vì searchParams là đối tượng read-only, không thể gọi trực tiếp các hàm thay đổi giá trị như delete lên nó.</t>
  </si>
  <si>
    <t>Khởi tạo một đối tượng trung gian: const newParams = new URLSearchParams(searchParams) rồi thao tác trên newParams trước khi gọi setSearchParams(newParams).</t>
  </si>
  <si>
    <t>Thao tác xóa bộ lọc dọn dẹp URL thành công mà không gây lỗi runtime.</t>
  </si>
  <si>
    <t>Bổ sung thuộc tính enabled: !!projectId vào tùy chọn cấu hình của useQuery.</t>
  </si>
  <si>
    <t>AI tạo câu hook useQuery để gọi API lấy danh sách trạng thái nhiệm vụ của dự án.
Vấn đề: AI quên thêm điều kiện kiểm tra enabled: !!projectId, dẫn đến việc API cố gắng gọi lên máy chủ với giá trị undefined khi đang tải trang khiến console báo lỗi đỏ.</t>
  </si>
  <si>
    <t xml:space="preserve">"Add custom React Query fetch for project statuses inside use-project-gantt.ts using projectTaskStatusApi.list(projectId). It should fetch columns dynamically instead of static enum."
</t>
  </si>
  <si>
    <t>Khi vào trang chi tiết dự án, danh sách trạng thái được load động chính xác, không còn lỗi 400 Bad Request ở console.</t>
  </si>
  <si>
    <t>"Check this custom query JSON format: {"activeFilterKeys":["status"],"filterStates":{"status":{"operator":"=","value":"in_progress"}},"options":{"showEstTime":true}}. How can I make sure that my applied URL query parses this properly, including fallback options for showProgress and showAssignee if they are missing from JSON?"</t>
  </si>
  <si>
    <t>AI đưa ra đoạn code parse thông thường bằng cú pháp JSON.parse(queryData).
Vấn đề: Đoạn code của AI không kiểm tra tính hợp lệ của dữ liệu sau khi parse (như kiểu dữ liệu mảng) có thể gây crash trang nếu chuỗi lưu trữ trong DB bị hỏng hoặc lỗi định dạng.</t>
  </si>
  <si>
    <t>Viết thêm các điều kiện kiểm tra an toàn bằng Array.isArray(data.activeFilterKeys) và kiểm tra data.options !== undefined trước khi gán trạng thái hiển thị.</t>
  </si>
  <si>
    <t>Trang tải trơn tru, bộ lọc vẫn áp dụng chính xác kể cả đối với các dữ liệu cũ thiếu thuộc tính tùy chọn hiển thị.</t>
  </si>
  <si>
    <t>Hướng dẫn giải quyết lỗi bảo mật phân tích tĩnh; Thiết kế giải pháp phân luồng liên kết sâu URL và trực tiếp kiểm thử tính năng lưu bộ lọc động trên Gantt chart và Issue Board.</t>
  </si>
  <si>
    <t>Gợi ý phân tích các nguyên nhân gây ra vòng lặp render vô tận khi thay đổi search params trong React và đề xuất cách quản lý state URL hiệu quả.</t>
  </si>
  <si>
    <t>Ví dụ 1: AI đề xuất gọi hàm setSearchParams trực tiếp trong thân hàm render chính của component, điều này vi phạm quy tắc vòng đời React và trực tiếp gây ra lỗi crash ứng dụng.
Ví dụ 2: AI viết logic gộp dữ liệu bộ lọc bị lỗi khi gộp các mảng trùng lặp, khiến bộ lọc Gantt bị nhân đôi các điều kiện lọc (như trạng thái nhiệm vụ bị lặp 2 lần).</t>
  </si>
  <si>
    <t>Việc tích hợp URL search params đòi hỏi kiểm soát chặt chẽ trạng thái của nhiều tab giao diện khác nhau (Gantt, Kanban, Issues) để tránh các tab ảnh hưởng lẫn nhau.</t>
  </si>
  <si>
    <t>Sẽ định nghĩa cấu trúc dữ liệu JSON lưu trữ bộ lọc (Custom Query schema) đồng bộ hơn giữa tất cả các màn hình dự án từ đầu.</t>
  </si>
  <si>
    <t>Đồng bộ cơ sở dữ liệu trạng thái Kanban động với backend API; Bổ sung các bình luận nghiệp vụ tiếng Anh trong repository; Hỗ trợ viết test tự động cho Gantt filters.</t>
  </si>
  <si>
    <t>Viết nhanh các truy vấn JOIN SQL phức tạp để lấy thông tin trạng thái Kanban đi kèm nhiệm vụ dự án một cách tối ưu.</t>
  </si>
  <si>
    <t>Ví dụ 1: AI tự ý đổi tên bảng trong Prisma từ ProjectTaskStatus thành TaskStatus trong các file repository gây ra lỗi biên dịch toàn hệ thống backend.
Ví dụ 2: Khi viết câu lệnh SQL kiểm tra dữ liệu trống, AI sử dụng toán tử == sai cú pháp của Prisma Client thay vì sử dụng object key equals.</t>
  </si>
  <si>
    <t>Đồng bộ hóa cấu trúc dữ liệu động từ backend lên frontend gặp nhiều lỗi do kiểu dữ liệu của các thư viện API cũ chưa được định nghĩa chuẩn TypeScript.</t>
  </si>
  <si>
    <t>Yêu cầu AI quét qua file schema.prisma trước khi viết bất kỳ truy vấn cơ sở dữ liệu nào để đảm bảo tính chính xác về mặt tên bảng.</t>
  </si>
  <si>
    <t>Triển khai lưu trữ bộ lọc Gantt và Issue Board vào URL search params; Sửa lỗi render loop; Tối ưu hóa hiệu năng render biểu đồ Gantt khi chuyển đổi cấu hình hiển thị.</t>
  </si>
  <si>
    <t>Đưa ra bộ khung code xử lý xử lý chuỗi URL và các hàm helper để lưu và xóa các tham số queryId an toàn.</t>
  </si>
  <si>
    <t>Ví dụ 1: AI quên kiểm tra kiểu dữ liệu của urlQueryId trả về từ searchParams.get() có thể là null, dẫn đến lỗi biên dịch TS khi so sánh trực tiếp với ID dạng string.
Ví dụ 2: AI đề xuất cách làm sạch URL bằng cách sử dụng window.history.pushState thay vì dùng API React Router, khiến cho trạng thái ứng dụng không nhận thức được sự thay đổi của URL và không chịu tải lại bộ lọc mới.</t>
  </si>
  <si>
    <t>Xử lý lỗi không đồng bộ (asynchronous) khi danh sách savedQueries chưa tải xong từ API mà URL đã có sẵn queryId cần được kích hoạt.</t>
  </si>
  <si>
    <t>Sẽ triển khai một trạng thái loading toàn cục trong khi tải thông tin cấu hình từ URL để ngăn người dùng thao tác sai lệch dữ liệu.</t>
  </si>
  <si>
    <t>Hoàn thiện API và tối ưu câu lệnh SQL cho Custom Queries; Hỗ trợ nhóm trưởng xây dựng các chỉ mục (indexes) trong cơ sở dữ liệu để tăng tốc độ tìm kiếm truy vấn.</t>
  </si>
  <si>
    <t>Đưa ra các gợi ý tạo index tối ưu trên cột projectId và userId của bảng CustomQuery trong Prisma schema.</t>
  </si>
  <si>
    <t>Ví dụ 1: AI khuyên tạo chỉ mục tổng hợp (composite index) ngược thứ tự ưu tiên sử dụng thực tế, làm giảm hiệu năng tìm kiếm khi truy vấn chỉ lọc theo projectId.
Ví dụ 2: AI viết câu lệnh Prisma seed dữ liệu mẫu bị trùng khóa chính (ID tự tăng) làm lỗi khi khởi chạy lần đầu tiên.</t>
  </si>
  <si>
    <t>Việc tối ưu hóa DB yêu cầu kiểm tra hiệu năng thực tế trên nhiều bản ghi giả lập dữ liệu lớn.</t>
  </si>
  <si>
    <t>Sẽ tự tay thiết kế và tạo file seed dữ liệu mẫu độc lập mà không dựa vào việc sinh dữ liệu ngẫu nhiên của AI để kiểm soát tốt các khóa ngoại.</t>
  </si>
  <si>
    <t>Điều chỉnh giao diện hiển thị các tab dự án; Tích hợp CSS nổi bật (highlight) danh sách truy vấn đã lưu phù hợp với URL active; Giải quyết các vấn đề tương thích CSS layout.</t>
  </si>
  <si>
    <t>Sinh các đoạn code Tailwind CSS điều kiện (conditional classes) để thay đổi màu sắc và viền của các item trong danh sách tùy thuộc vào trạng thái URL.</t>
  </si>
  <si>
    <t>Ví dụ 1: AI viết mã CSS điều kiện bị ghi đè bởi các CSS mặc định khác của nút bấm do thiếu thuộc tính ưu tiên (thiếu class hover/focus tương ứng).
Ví dụ 2: AI đề xuất dùng sự kiện click chuột để thay đổi viền nút thay vì so khớp trực tiếp với URL, làm nút highlight bị lệch trạng thái khi tải lại trang bằng phím F5.</t>
  </si>
  <si>
    <t>Quản lý sự đồng bộ giao diện hiển thị khi người dùng liên tục chuyển đổi giữa các tab Gantt và Issues trong cùng một trang chi tiết dự án.</t>
  </si>
  <si>
    <t>Sẽ đưa trạng thái Tab hiện tại lên URL (ví dụ: ?tab=gantt) để giữ nguyên được tab người dùng đang làm việc khi tải lại trang.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</si>
</sst>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charset val="1"/>
    </font>
    <font>
      <b/>
      <sz val="16"/>
      <color rgb="FFFFFFFF"/>
      <name val="Arial"/>
      <charset val="1"/>
    </font>
    <font>
      <i/>
      <sz val="11"/>
      <color rgb="FFFFFFFF"/>
      <name val="Arial"/>
      <charset val="1"/>
    </font>
    <font>
      <b/>
      <sz val="11"/>
      <color rgb="FFFFFFFF"/>
      <name val="Arial"/>
      <charset val="1"/>
    </font>
    <font>
      <sz val="10"/>
      <color rgb="FF000000"/>
      <name val="Arial"/>
      <charset val="1"/>
    </font>
    <font>
      <b/>
      <sz val="15"/>
      <color rgb="FFFFFFFF"/>
      <name val="Arial"/>
      <charset val="1"/>
    </font>
    <font>
      <b/>
      <sz val="10"/>
      <color rgb="FF000000"/>
      <name val="Arial"/>
      <charset val="1"/>
    </font>
    <font>
      <b/>
      <sz val="14"/>
      <color rgb="FFFFFFFF"/>
      <name val="Arial"/>
      <charset val="1"/>
    </font>
    <font>
      <i/>
      <sz val="9"/>
      <color rgb="FF808080"/>
      <name val="Arial"/>
      <charset val="1"/>
    </font>
    <font>
      <b/>
      <i/>
      <sz val="10"/>
      <color rgb="FF000000"/>
      <name val="Arial"/>
      <charset val="1"/>
    </font>
    <font>
      <i/>
      <sz val="9"/>
      <color rgb="FFFFFFFF"/>
      <name val="Arial"/>
      <charset val="1"/>
    </font>
    <font>
      <b/>
      <sz val="10"/>
      <color rgb="FF000000"/>
      <name val="Arial"/>
      <family val="2"/>
      <charset val="1"/>
    </font>
    <font>
      <b/>
      <sz val="10"/>
      <color rgb="FF000000"/>
      <name val="Arial"/>
      <family val="2"/>
    </font>
    <font>
      <sz val="10"/>
      <color rgb="FF000000"/>
      <name val="Arial"/>
      <family val="2"/>
    </font>
    <font>
      <u/>
      <sz val="11"/>
      <color theme="10"/>
      <name val="Calibri"/>
      <family val="2"/>
      <charset val="1"/>
    </font>
    <font>
      <i/>
      <sz val="9"/>
      <color rgb="FF808080"/>
      <name val="Arial"/>
      <family val="2"/>
    </font>
    <font>
      <sz val="8"/>
      <name val="Calibri"/>
      <family val="2"/>
      <charset val="1"/>
    </font>
    <font>
      <b/>
      <sz val="14"/>
      <color rgb="FFFFFFFF"/>
      <name val="Arial"/>
      <family val="2"/>
    </font>
    <font>
      <b/>
      <sz val="11"/>
      <color rgb="FFFFFFFF"/>
      <name val="Arial"/>
      <family val="2"/>
    </font>
  </fonts>
  <fills count="12">
    <fill>
      <patternFill patternType="none"/>
    </fill>
    <fill>
      <patternFill patternType="gray125"/>
    </fill>
    <fill>
      <patternFill patternType="solid">
        <fgColor rgb="FF1F3864"/>
        <bgColor rgb="FF333399"/>
      </patternFill>
    </fill>
    <fill>
      <patternFill patternType="solid">
        <fgColor rgb="FF2E75B6"/>
        <bgColor rgb="FF0066CC"/>
      </patternFill>
    </fill>
    <fill>
      <patternFill patternType="solid">
        <fgColor rgb="FF7030A0"/>
        <bgColor rgb="FF993366"/>
      </patternFill>
    </fill>
    <fill>
      <patternFill patternType="solid">
        <fgColor rgb="FF375623"/>
        <bgColor rgb="FF333300"/>
      </patternFill>
    </fill>
    <fill>
      <patternFill patternType="solid">
        <fgColor rgb="FFD6E4F0"/>
        <bgColor rgb="FFE2EFDA"/>
      </patternFill>
    </fill>
    <fill>
      <patternFill patternType="solid">
        <fgColor rgb="FFE2EFDA"/>
        <bgColor rgb="FFF2F2F2"/>
      </patternFill>
    </fill>
    <fill>
      <patternFill patternType="solid">
        <fgColor rgb="FFF2F2F2"/>
        <bgColor rgb="FFE2EFDA"/>
      </patternFill>
    </fill>
    <fill>
      <patternFill patternType="solid">
        <fgColor rgb="FFEAD1DC"/>
        <bgColor rgb="FFFCE4D6"/>
      </patternFill>
    </fill>
    <fill>
      <patternFill patternType="solid">
        <fgColor rgb="FFC55A11"/>
        <bgColor rgb="FF993300"/>
      </patternFill>
    </fill>
    <fill>
      <patternFill patternType="solid">
        <fgColor rgb="FFFCE4D6"/>
        <bgColor rgb="FFF2F2F2"/>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s>
  <cellStyleXfs count="2">
    <xf numFmtId="0" fontId="0" fillId="0" borderId="0"/>
    <xf numFmtId="0" fontId="14" fillId="0" borderId="0"/>
  </cellStyleXfs>
  <cellXfs count="78">
    <xf numFmtId="0" fontId="0" fillId="0" borderId="0" xfId="0"/>
    <xf numFmtId="0" fontId="6" fillId="9"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6" fillId="0" borderId="2" xfId="0" applyFont="1" applyBorder="1" applyAlignment="1">
      <alignment horizontal="left" vertical="center" wrapText="1"/>
    </xf>
    <xf numFmtId="0" fontId="4" fillId="0" borderId="1" xfId="0" applyFont="1" applyBorder="1" applyAlignment="1">
      <alignment horizontal="left" vertical="center" wrapText="1"/>
    </xf>
    <xf numFmtId="0" fontId="6" fillId="6"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horizontal="left" vertical="center" wrapText="1"/>
    </xf>
    <xf numFmtId="0" fontId="4" fillId="0" borderId="1" xfId="0" applyFont="1" applyBorder="1" applyAlignment="1">
      <alignment horizontal="center" vertical="center" wrapText="1"/>
    </xf>
    <xf numFmtId="0" fontId="13" fillId="0" borderId="1" xfId="0" applyFont="1" applyBorder="1" applyAlignment="1">
      <alignment horizontal="left" vertical="center" wrapText="1"/>
    </xf>
    <xf numFmtId="0" fontId="14" fillId="0" borderId="1" xfId="1" applyBorder="1" applyAlignment="1">
      <alignment horizontal="left" vertical="center" wrapText="1"/>
    </xf>
    <xf numFmtId="0" fontId="6" fillId="6" borderId="1" xfId="0" applyFont="1" applyFill="1" applyBorder="1" applyAlignment="1">
      <alignment vertical="top" wrapText="1"/>
    </xf>
    <xf numFmtId="0" fontId="6" fillId="7" borderId="1" xfId="0" applyFont="1" applyFill="1" applyBorder="1" applyAlignment="1">
      <alignment vertical="top" wrapText="1"/>
    </xf>
    <xf numFmtId="0" fontId="6" fillId="9" borderId="1" xfId="0" applyFont="1" applyFill="1" applyBorder="1" applyAlignment="1">
      <alignment vertical="top" wrapText="1"/>
    </xf>
    <xf numFmtId="0" fontId="4" fillId="0" borderId="1" xfId="0" applyFont="1" applyBorder="1" applyAlignment="1">
      <alignment vertical="center" wrapText="1"/>
    </xf>
    <xf numFmtId="0" fontId="0" fillId="0" borderId="0" xfId="0" applyAlignment="1">
      <alignment vertical="center" wrapText="1"/>
    </xf>
    <xf numFmtId="0" fontId="6" fillId="0" borderId="2" xfId="0" applyFont="1" applyBorder="1" applyAlignment="1">
      <alignment vertical="center" wrapText="1"/>
    </xf>
    <xf numFmtId="0" fontId="4" fillId="0" borderId="1" xfId="0" applyFont="1" applyBorder="1" applyAlignment="1">
      <alignment horizontal="left" vertical="center" wrapText="1"/>
    </xf>
    <xf numFmtId="0" fontId="0" fillId="0" borderId="3" xfId="0" applyBorder="1"/>
    <xf numFmtId="0" fontId="0" fillId="0" borderId="5" xfId="0" applyBorder="1"/>
    <xf numFmtId="0" fontId="8" fillId="0" borderId="4" xfId="0" applyFont="1" applyBorder="1" applyAlignment="1">
      <alignment horizontal="left" vertical="center" wrapText="1"/>
    </xf>
    <xf numFmtId="0" fontId="0" fillId="0" borderId="0" xfId="0"/>
    <xf numFmtId="0" fontId="6" fillId="8" borderId="1" xfId="0" applyFont="1" applyFill="1" applyBorder="1" applyAlignment="1">
      <alignment horizontal="center" vertical="center" wrapText="1"/>
    </xf>
    <xf numFmtId="0" fontId="8" fillId="0" borderId="1" xfId="0" applyFont="1" applyBorder="1" applyAlignment="1">
      <alignment horizontal="left" vertical="center" wrapText="1"/>
    </xf>
    <xf numFmtId="0" fontId="6" fillId="9" borderId="1" xfId="0" applyFont="1" applyFill="1" applyBorder="1" applyAlignment="1">
      <alignment horizontal="center" vertical="center" wrapText="1"/>
    </xf>
    <xf numFmtId="0" fontId="6" fillId="0" borderId="1" xfId="0" applyFont="1" applyBorder="1" applyAlignment="1">
      <alignment horizontal="left" vertical="center" wrapText="1"/>
    </xf>
    <xf numFmtId="0" fontId="3" fillId="5" borderId="1" xfId="0" applyFont="1" applyFill="1" applyBorder="1" applyAlignment="1">
      <alignment horizontal="left" vertical="center" wrapText="1"/>
    </xf>
    <xf numFmtId="0" fontId="6" fillId="11" borderId="1" xfId="0" applyFont="1" applyFill="1" applyBorder="1" applyAlignment="1">
      <alignment horizontal="left" vertical="center" wrapText="1"/>
    </xf>
    <xf numFmtId="0" fontId="3" fillId="3" borderId="1" xfId="0" applyFont="1" applyFill="1" applyBorder="1" applyAlignment="1">
      <alignment horizontal="left" vertical="center" wrapText="1"/>
    </xf>
    <xf numFmtId="0" fontId="8" fillId="0" borderId="0" xfId="0" applyFont="1" applyAlignment="1">
      <alignment horizontal="left" vertical="center" wrapText="1"/>
    </xf>
    <xf numFmtId="0" fontId="9" fillId="8" borderId="1" xfId="0" applyFont="1" applyFill="1" applyBorder="1" applyAlignment="1">
      <alignment horizontal="left" vertical="center" wrapText="1"/>
    </xf>
    <xf numFmtId="0" fontId="10" fillId="2" borderId="1" xfId="0" applyFont="1" applyFill="1" applyBorder="1" applyAlignment="1">
      <alignment horizontal="center" vertical="center" wrapText="1"/>
    </xf>
    <xf numFmtId="0" fontId="8" fillId="0" borderId="0" xfId="0" applyFont="1" applyAlignment="1">
      <alignment horizontal="center" vertical="center" wrapText="1"/>
    </xf>
    <xf numFmtId="0" fontId="7" fillId="2"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0" fontId="3" fillId="4" borderId="1" xfId="0" applyFont="1" applyFill="1" applyBorder="1" applyAlignment="1">
      <alignment horizontal="left" vertical="center" wrapText="1"/>
    </xf>
    <xf numFmtId="0" fontId="1"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5" fillId="2" borderId="1" xfId="0" applyFont="1" applyFill="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wrapText="1"/>
    </xf>
    <xf numFmtId="0" fontId="6" fillId="0" borderId="2" xfId="0" applyFont="1" applyBorder="1" applyAlignment="1">
      <alignment horizontal="left" vertical="center" wrapText="1"/>
    </xf>
    <xf numFmtId="0" fontId="14" fillId="0" borderId="2" xfId="1" applyBorder="1" applyAlignment="1">
      <alignment horizontal="left" vertical="center" wrapText="1"/>
    </xf>
    <xf numFmtId="0" fontId="14" fillId="0" borderId="3" xfId="1" applyBorder="1" applyAlignment="1">
      <alignment horizontal="left" vertical="center" wrapText="1"/>
    </xf>
    <xf numFmtId="0" fontId="6" fillId="0" borderId="6" xfId="0" applyFont="1" applyBorder="1" applyAlignment="1">
      <alignment horizontal="center" vertical="center" wrapText="1"/>
    </xf>
    <xf numFmtId="0" fontId="6" fillId="0" borderId="7" xfId="0" applyFont="1" applyBorder="1" applyAlignment="1">
      <alignment horizontal="center" vertical="center" wrapText="1"/>
    </xf>
    <xf numFmtId="0" fontId="6" fillId="0" borderId="8" xfId="0" applyFont="1" applyBorder="1" applyAlignment="1">
      <alignment horizontal="center" vertical="center" wrapText="1"/>
    </xf>
    <xf numFmtId="0" fontId="13" fillId="0" borderId="2" xfId="0" applyFont="1" applyBorder="1" applyAlignment="1">
      <alignment horizontal="left" vertical="center" wrapText="1"/>
    </xf>
    <xf numFmtId="0" fontId="13" fillId="0" borderId="3" xfId="0" applyFont="1" applyBorder="1" applyAlignment="1">
      <alignment horizontal="left" vertical="center" wrapText="1"/>
    </xf>
    <xf numFmtId="0" fontId="8" fillId="0" borderId="3" xfId="0" applyFont="1" applyBorder="1" applyAlignment="1">
      <alignment horizontal="left" vertical="center" wrapText="1"/>
    </xf>
    <xf numFmtId="0" fontId="6" fillId="0" borderId="1" xfId="0" applyFont="1" applyBorder="1" applyAlignment="1">
      <alignment vertical="center" wrapText="1"/>
    </xf>
    <xf numFmtId="0" fontId="4" fillId="0" borderId="1" xfId="0" applyFont="1" applyBorder="1" applyAlignment="1">
      <alignment vertical="center" wrapText="1"/>
    </xf>
    <xf numFmtId="0" fontId="3" fillId="5" borderId="1" xfId="0" applyFont="1" applyFill="1" applyBorder="1" applyAlignment="1">
      <alignment vertical="top" wrapText="1"/>
    </xf>
    <xf numFmtId="0" fontId="6" fillId="11" borderId="1" xfId="0" applyFont="1" applyFill="1" applyBorder="1" applyAlignment="1">
      <alignment vertical="center" wrapText="1"/>
    </xf>
    <xf numFmtId="0" fontId="8" fillId="0" borderId="1" xfId="0" applyFont="1" applyBorder="1" applyAlignment="1">
      <alignment vertical="center" wrapText="1"/>
    </xf>
    <xf numFmtId="0" fontId="8" fillId="0" borderId="4" xfId="0" applyFont="1" applyBorder="1" applyAlignment="1">
      <alignment vertical="center" wrapText="1"/>
    </xf>
    <xf numFmtId="0" fontId="9" fillId="8" borderId="1" xfId="0" applyFont="1" applyFill="1" applyBorder="1" applyAlignment="1">
      <alignment vertical="center" wrapText="1"/>
    </xf>
    <xf numFmtId="0" fontId="8" fillId="0" borderId="0" xfId="0" applyFont="1" applyAlignment="1">
      <alignment vertical="top" wrapText="1"/>
    </xf>
    <xf numFmtId="0" fontId="6" fillId="9" borderId="1" xfId="0" applyFont="1" applyFill="1" applyBorder="1" applyAlignment="1">
      <alignment vertical="top" wrapText="1"/>
    </xf>
    <xf numFmtId="0" fontId="10" fillId="2" borderId="1" xfId="0" applyFont="1" applyFill="1" applyBorder="1" applyAlignment="1">
      <alignment vertical="top" wrapText="1"/>
    </xf>
    <xf numFmtId="0" fontId="7" fillId="2" borderId="1" xfId="0" applyFont="1" applyFill="1" applyBorder="1" applyAlignment="1">
      <alignment vertical="top" wrapText="1"/>
    </xf>
    <xf numFmtId="0" fontId="6" fillId="7" borderId="1" xfId="0" applyFont="1" applyFill="1" applyBorder="1" applyAlignment="1">
      <alignment vertical="top" wrapText="1"/>
    </xf>
    <xf numFmtId="0" fontId="6" fillId="8" borderId="1" xfId="0" applyFont="1" applyFill="1" applyBorder="1" applyAlignment="1">
      <alignment vertical="center"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3" fillId="3" borderId="1" xfId="0" applyFont="1" applyFill="1" applyBorder="1" applyAlignment="1">
      <alignment vertical="top" wrapText="1"/>
    </xf>
    <xf numFmtId="0" fontId="15" fillId="0" borderId="1" xfId="0" applyFont="1" applyBorder="1" applyAlignment="1">
      <alignment horizontal="left" vertical="center" wrapText="1"/>
    </xf>
    <xf numFmtId="0" fontId="11" fillId="0" borderId="2" xfId="0" applyFont="1" applyBorder="1" applyAlignment="1">
      <alignment horizontal="left" vertical="center" wrapText="1"/>
    </xf>
    <xf numFmtId="0" fontId="13" fillId="0" borderId="1" xfId="0" applyFont="1" applyBorder="1" applyAlignment="1">
      <alignment horizontal="left" vertical="center" wrapText="1"/>
    </xf>
    <xf numFmtId="0" fontId="15" fillId="0" borderId="4" xfId="0" applyFont="1" applyBorder="1" applyAlignment="1">
      <alignment horizontal="left" vertical="center" wrapText="1"/>
    </xf>
    <xf numFmtId="0" fontId="12" fillId="0" borderId="1" xfId="0" applyFont="1" applyBorder="1" applyAlignment="1">
      <alignment horizontal="left" vertical="center" wrapText="1"/>
    </xf>
    <xf numFmtId="0" fontId="12" fillId="11" borderId="1" xfId="0" applyFont="1" applyFill="1" applyBorder="1" applyAlignment="1">
      <alignment horizontal="left" vertical="center" wrapText="1"/>
    </xf>
    <xf numFmtId="0" fontId="17" fillId="2" borderId="1" xfId="0" applyFont="1" applyFill="1" applyBorder="1" applyAlignment="1">
      <alignment horizontal="center" vertical="center" wrapText="1"/>
    </xf>
    <xf numFmtId="0" fontId="12" fillId="6" borderId="1" xfId="0" applyFont="1" applyFill="1" applyBorder="1" applyAlignment="1">
      <alignment horizontal="center" vertical="center" wrapText="1"/>
    </xf>
    <xf numFmtId="0" fontId="18" fillId="10" borderId="1" xfId="0" applyFont="1" applyFill="1" applyBorder="1" applyAlignment="1">
      <alignment horizontal="left" vertical="center" wrapText="1"/>
    </xf>
    <xf numFmtId="0" fontId="18" fillId="5" borderId="1" xfId="0" applyFont="1" applyFill="1" applyBorder="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030A0"/>
      <rgbColor rgb="FFF2F2F2"/>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EAD1DC"/>
      <rgbColor rgb="FF2E75B6"/>
      <rgbColor rgb="FF33CCCC"/>
      <rgbColor rgb="FF99CC00"/>
      <rgbColor rgb="FFFFCC00"/>
      <rgbColor rgb="FFFF9900"/>
      <rgbColor rgb="FFC55A11"/>
      <rgbColor rgb="FF66669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integrated-hr-and-product-system.vercel.app/" TargetMode="External"/><Relationship Id="rId3" Type="http://schemas.openxmlformats.org/officeDocument/2006/relationships/hyperlink" Target="mailto:tranphuocdoannhat.2005@gmail.com" TargetMode="External"/><Relationship Id="rId7" Type="http://schemas.openxmlformats.org/officeDocument/2006/relationships/hyperlink" Target="https://hrp.atlassian.net/jira/software/projects/JOB/boards/34" TargetMode="External"/><Relationship Id="rId2" Type="http://schemas.openxmlformats.org/officeDocument/2006/relationships/hyperlink" Target="mailto:taloan.8104@gmail.com" TargetMode="External"/><Relationship Id="rId1" Type="http://schemas.openxmlformats.org/officeDocument/2006/relationships/hyperlink" Target="mailto:ducanhle.dn@gmail.com" TargetMode="External"/><Relationship Id="rId6" Type="http://schemas.openxmlformats.org/officeDocument/2006/relationships/hyperlink" Target="https://github.com/ldanh270/integrated-hr-and-product-system" TargetMode="External"/><Relationship Id="rId5" Type="http://schemas.openxmlformats.org/officeDocument/2006/relationships/hyperlink" Target="mailto:doxuanthangqb2005@gmai.com" TargetMode="External"/><Relationship Id="rId4" Type="http://schemas.openxmlformats.org/officeDocument/2006/relationships/hyperlink" Target="mailto:atuyet129129@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25"/>
  <sheetViews>
    <sheetView showGridLines="0" zoomScaleNormal="100" workbookViewId="0"/>
  </sheetViews>
  <sheetFormatPr defaultColWidth="8.54296875" defaultRowHeight="14.5" x14ac:dyDescent="0.35"/>
  <cols>
    <col min="1" max="1" width="3" customWidth="1"/>
    <col min="2" max="2" width="28" customWidth="1"/>
    <col min="3" max="3" width="84.453125" customWidth="1"/>
  </cols>
  <sheetData>
    <row r="1" spans="2:3" ht="13.5" customHeight="1" x14ac:dyDescent="0.35"/>
    <row r="2" spans="2:3" ht="36" customHeight="1" x14ac:dyDescent="0.35">
      <c r="B2" s="37" t="s">
        <v>157</v>
      </c>
      <c r="C2" s="19"/>
    </row>
    <row r="3" spans="2:3" ht="18" customHeight="1" x14ac:dyDescent="0.35">
      <c r="B3" s="38" t="s">
        <v>158</v>
      </c>
      <c r="C3" s="19"/>
    </row>
    <row r="5" spans="2:3" ht="19.5" customHeight="1" x14ac:dyDescent="0.35">
      <c r="B5" s="39" t="s">
        <v>159</v>
      </c>
      <c r="C5" s="19"/>
    </row>
    <row r="6" spans="2:3" ht="24.75" customHeight="1" x14ac:dyDescent="0.35">
      <c r="B6" s="4" t="s">
        <v>160</v>
      </c>
      <c r="C6" s="4" t="s">
        <v>161</v>
      </c>
    </row>
    <row r="7" spans="2:3" ht="24.75" customHeight="1" x14ac:dyDescent="0.35">
      <c r="B7" s="4" t="s">
        <v>162</v>
      </c>
      <c r="C7" s="4" t="s">
        <v>163</v>
      </c>
    </row>
    <row r="8" spans="2:3" ht="18" customHeight="1" x14ac:dyDescent="0.35">
      <c r="B8" s="4" t="s">
        <v>164</v>
      </c>
      <c r="C8" s="4" t="s">
        <v>165</v>
      </c>
    </row>
    <row r="10" spans="2:3" ht="19.5" customHeight="1" x14ac:dyDescent="0.35">
      <c r="B10" s="28" t="s">
        <v>166</v>
      </c>
      <c r="C10" s="19"/>
    </row>
    <row r="11" spans="2:3" x14ac:dyDescent="0.35">
      <c r="B11" s="4" t="s">
        <v>167</v>
      </c>
      <c r="C11" s="4" t="s">
        <v>168</v>
      </c>
    </row>
    <row r="12" spans="2:3" x14ac:dyDescent="0.35">
      <c r="B12" s="4" t="s">
        <v>169</v>
      </c>
      <c r="C12" s="4" t="s">
        <v>170</v>
      </c>
    </row>
    <row r="13" spans="2:3" ht="18" customHeight="1" x14ac:dyDescent="0.35">
      <c r="B13" s="4" t="s">
        <v>171</v>
      </c>
      <c r="C13" s="4" t="s">
        <v>172</v>
      </c>
    </row>
    <row r="15" spans="2:3" ht="19.5" customHeight="1" x14ac:dyDescent="0.35">
      <c r="B15" s="36" t="s">
        <v>173</v>
      </c>
      <c r="C15" s="19"/>
    </row>
    <row r="16" spans="2:3" ht="24.75" customHeight="1" x14ac:dyDescent="0.35">
      <c r="B16" s="4" t="s">
        <v>174</v>
      </c>
      <c r="C16" s="4" t="s">
        <v>175</v>
      </c>
    </row>
    <row r="17" spans="2:3" ht="24.75" customHeight="1" x14ac:dyDescent="0.35">
      <c r="B17" s="4" t="s">
        <v>176</v>
      </c>
      <c r="C17" s="4" t="s">
        <v>177</v>
      </c>
    </row>
    <row r="18" spans="2:3" ht="24.75" customHeight="1" x14ac:dyDescent="0.35">
      <c r="B18" s="4" t="s">
        <v>178</v>
      </c>
      <c r="C18" s="4" t="s">
        <v>179</v>
      </c>
    </row>
    <row r="19" spans="2:3" ht="24.75" customHeight="1" x14ac:dyDescent="0.35">
      <c r="B19" s="4" t="s">
        <v>180</v>
      </c>
      <c r="C19" s="4" t="s">
        <v>181</v>
      </c>
    </row>
    <row r="21" spans="2:3" ht="19.5" customHeight="1" x14ac:dyDescent="0.35">
      <c r="B21" s="26" t="s">
        <v>182</v>
      </c>
      <c r="C21" s="19"/>
    </row>
    <row r="22" spans="2:3" x14ac:dyDescent="0.35">
      <c r="B22" s="4" t="s">
        <v>183</v>
      </c>
      <c r="C22" s="4" t="s">
        <v>184</v>
      </c>
    </row>
    <row r="23" spans="2:3" ht="24.75" customHeight="1" x14ac:dyDescent="0.35">
      <c r="B23" s="4" t="s">
        <v>185</v>
      </c>
      <c r="C23" s="4" t="s">
        <v>186</v>
      </c>
    </row>
    <row r="24" spans="2:3" ht="18" customHeight="1" x14ac:dyDescent="0.35">
      <c r="B24" s="4" t="s">
        <v>187</v>
      </c>
      <c r="C24" s="4" t="s">
        <v>56</v>
      </c>
    </row>
    <row r="25" spans="2:3" ht="18" customHeight="1" x14ac:dyDescent="0.35">
      <c r="B25" s="4" t="s">
        <v>188</v>
      </c>
      <c r="C25" s="4" t="s">
        <v>189</v>
      </c>
    </row>
  </sheetData>
  <mergeCells count="6">
    <mergeCell ref="B21:C21"/>
    <mergeCell ref="B2:C2"/>
    <mergeCell ref="B15:C15"/>
    <mergeCell ref="B3:C3"/>
    <mergeCell ref="B5:C5"/>
    <mergeCell ref="B10:C10"/>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G27"/>
  <sheetViews>
    <sheetView showGridLines="0" topLeftCell="B3" zoomScaleNormal="100" workbookViewId="0">
      <selection activeCell="D22" sqref="D22:G22"/>
    </sheetView>
  </sheetViews>
  <sheetFormatPr defaultColWidth="8.54296875" defaultRowHeight="14.5" x14ac:dyDescent="0.35"/>
  <cols>
    <col min="1" max="1" width="3" customWidth="1"/>
    <col min="2" max="2" width="24" customWidth="1"/>
    <col min="3" max="3" width="32.81640625" customWidth="1"/>
    <col min="4" max="4" width="18" customWidth="1"/>
    <col min="5" max="5" width="34.81640625" bestFit="1" customWidth="1"/>
    <col min="6" max="6" width="18" customWidth="1"/>
    <col min="7" max="7" width="20" customWidth="1"/>
  </cols>
  <sheetData>
    <row r="1" spans="2:7" ht="13.5" customHeight="1" x14ac:dyDescent="0.35"/>
    <row r="2" spans="2:7" ht="36" customHeight="1" x14ac:dyDescent="0.35">
      <c r="B2" s="40" t="s">
        <v>190</v>
      </c>
      <c r="C2" s="18"/>
      <c r="D2" s="18"/>
      <c r="E2" s="18"/>
      <c r="F2" s="18"/>
      <c r="G2" s="19"/>
    </row>
    <row r="3" spans="2:7" ht="19.5" customHeight="1" x14ac:dyDescent="0.35">
      <c r="B3" s="28" t="s">
        <v>191</v>
      </c>
      <c r="C3" s="18"/>
      <c r="D3" s="18"/>
      <c r="E3" s="18"/>
      <c r="F3" s="18"/>
      <c r="G3" s="19"/>
    </row>
    <row r="4" spans="2:7" ht="18" customHeight="1" x14ac:dyDescent="0.35">
      <c r="B4" s="3" t="s">
        <v>192</v>
      </c>
      <c r="C4" s="43" t="s">
        <v>193</v>
      </c>
      <c r="D4" s="18"/>
      <c r="E4" s="18"/>
      <c r="F4" s="18"/>
      <c r="G4" s="18"/>
    </row>
    <row r="5" spans="2:7" ht="18" customHeight="1" x14ac:dyDescent="0.35">
      <c r="B5" s="3" t="s">
        <v>194</v>
      </c>
      <c r="C5" s="43" t="s">
        <v>195</v>
      </c>
      <c r="D5" s="18"/>
      <c r="E5" s="18"/>
      <c r="F5" s="18"/>
      <c r="G5" s="18"/>
    </row>
    <row r="6" spans="2:7" ht="18" customHeight="1" x14ac:dyDescent="0.35">
      <c r="B6" s="3" t="s">
        <v>196</v>
      </c>
      <c r="C6" s="43" t="s">
        <v>197</v>
      </c>
      <c r="D6" s="18"/>
      <c r="E6" s="18"/>
      <c r="F6" s="18"/>
      <c r="G6" s="18"/>
    </row>
    <row r="7" spans="2:7" ht="18" customHeight="1" x14ac:dyDescent="0.35">
      <c r="B7" s="3" t="s">
        <v>198</v>
      </c>
      <c r="C7" s="43" t="s">
        <v>199</v>
      </c>
      <c r="D7" s="18"/>
      <c r="E7" s="18"/>
      <c r="F7" s="18"/>
      <c r="G7" s="18"/>
    </row>
    <row r="8" spans="2:7" ht="18" customHeight="1" x14ac:dyDescent="0.35">
      <c r="B8" s="3" t="s">
        <v>200</v>
      </c>
      <c r="C8" s="43">
        <v>5</v>
      </c>
      <c r="D8" s="18"/>
      <c r="E8" s="18"/>
      <c r="F8" s="18"/>
      <c r="G8" s="18"/>
    </row>
    <row r="10" spans="2:7" ht="19.5" customHeight="1" x14ac:dyDescent="0.35">
      <c r="B10" s="28" t="s">
        <v>201</v>
      </c>
      <c r="C10" s="18"/>
      <c r="D10" s="18"/>
      <c r="E10" s="18"/>
      <c r="F10" s="18"/>
      <c r="G10" s="19"/>
    </row>
    <row r="11" spans="2:7" x14ac:dyDescent="0.35">
      <c r="B11" s="5" t="s">
        <v>202</v>
      </c>
      <c r="C11" s="5" t="s">
        <v>203</v>
      </c>
      <c r="D11" s="5" t="s">
        <v>204</v>
      </c>
      <c r="E11" s="5" t="s">
        <v>205</v>
      </c>
      <c r="F11" s="5" t="s">
        <v>206</v>
      </c>
      <c r="G11" s="5" t="s">
        <v>60</v>
      </c>
    </row>
    <row r="12" spans="2:7" ht="18" customHeight="1" x14ac:dyDescent="0.35">
      <c r="B12" s="6" t="s">
        <v>13</v>
      </c>
      <c r="C12" s="4" t="s">
        <v>207</v>
      </c>
      <c r="D12" s="4" t="s">
        <v>208</v>
      </c>
      <c r="E12" s="10" t="s">
        <v>209</v>
      </c>
      <c r="F12" s="4" t="s">
        <v>210</v>
      </c>
      <c r="G12" s="4"/>
    </row>
    <row r="13" spans="2:7" ht="18" customHeight="1" x14ac:dyDescent="0.35">
      <c r="B13" s="6" t="s">
        <v>20</v>
      </c>
      <c r="C13" s="4" t="s">
        <v>211</v>
      </c>
      <c r="D13" s="4" t="s">
        <v>212</v>
      </c>
      <c r="E13" s="10" t="s">
        <v>213</v>
      </c>
      <c r="F13" s="4" t="s">
        <v>214</v>
      </c>
      <c r="G13" s="4"/>
    </row>
    <row r="14" spans="2:7" ht="18" customHeight="1" x14ac:dyDescent="0.35">
      <c r="B14" s="6" t="s">
        <v>37</v>
      </c>
      <c r="C14" s="4" t="s">
        <v>215</v>
      </c>
      <c r="D14" s="4" t="s">
        <v>216</v>
      </c>
      <c r="E14" s="10" t="s">
        <v>217</v>
      </c>
      <c r="F14" s="4" t="s">
        <v>214</v>
      </c>
      <c r="G14" s="4"/>
    </row>
    <row r="15" spans="2:7" ht="18" customHeight="1" x14ac:dyDescent="0.35">
      <c r="B15" s="6" t="s">
        <v>31</v>
      </c>
      <c r="C15" s="4" t="s">
        <v>218</v>
      </c>
      <c r="D15" s="4" t="s">
        <v>219</v>
      </c>
      <c r="E15" s="10" t="s">
        <v>220</v>
      </c>
      <c r="F15" s="4" t="s">
        <v>214</v>
      </c>
      <c r="G15" s="4"/>
    </row>
    <row r="16" spans="2:7" ht="18" customHeight="1" x14ac:dyDescent="0.35">
      <c r="B16" s="6" t="s">
        <v>26</v>
      </c>
      <c r="C16" s="4" t="s">
        <v>221</v>
      </c>
      <c r="D16" s="9" t="s">
        <v>222</v>
      </c>
      <c r="E16" s="10" t="s">
        <v>223</v>
      </c>
      <c r="F16" s="4" t="s">
        <v>214</v>
      </c>
      <c r="G16" s="4"/>
    </row>
    <row r="18" spans="2:7" ht="19.5" customHeight="1" x14ac:dyDescent="0.35">
      <c r="B18" s="26" t="s">
        <v>224</v>
      </c>
      <c r="C18" s="18"/>
      <c r="D18" s="18"/>
      <c r="E18" s="18"/>
      <c r="F18" s="18"/>
      <c r="G18" s="19"/>
    </row>
    <row r="19" spans="2:7" ht="19.5" customHeight="1" x14ac:dyDescent="0.35">
      <c r="B19" s="7" t="s">
        <v>225</v>
      </c>
      <c r="C19" s="41" t="s">
        <v>226</v>
      </c>
      <c r="D19" s="18"/>
      <c r="E19" s="18"/>
      <c r="F19" s="18"/>
      <c r="G19" s="18"/>
    </row>
    <row r="20" spans="2:7" ht="19.5" customHeight="1" x14ac:dyDescent="0.35">
      <c r="B20" s="7" t="s">
        <v>227</v>
      </c>
      <c r="C20" s="41" t="s">
        <v>228</v>
      </c>
      <c r="D20" s="18"/>
      <c r="E20" s="18"/>
      <c r="F20" s="18"/>
      <c r="G20" s="18"/>
    </row>
    <row r="21" spans="2:7" ht="19.5" customHeight="1" x14ac:dyDescent="0.35">
      <c r="B21" s="46" t="s">
        <v>229</v>
      </c>
      <c r="C21" s="3" t="s">
        <v>480</v>
      </c>
      <c r="D21" s="49" t="s">
        <v>481</v>
      </c>
      <c r="E21" s="50"/>
      <c r="F21" s="50"/>
      <c r="G21" s="50"/>
    </row>
    <row r="22" spans="2:7" ht="19.5" customHeight="1" x14ac:dyDescent="0.35">
      <c r="B22" s="47"/>
      <c r="C22" s="3" t="s">
        <v>482</v>
      </c>
      <c r="D22" s="49" t="s">
        <v>483</v>
      </c>
      <c r="E22" s="50"/>
      <c r="F22" s="50"/>
      <c r="G22" s="50"/>
    </row>
    <row r="23" spans="2:7" ht="19.5" customHeight="1" x14ac:dyDescent="0.35">
      <c r="B23" s="48"/>
      <c r="C23" s="16" t="s">
        <v>484</v>
      </c>
      <c r="D23" s="49" t="s">
        <v>485</v>
      </c>
      <c r="E23" s="50"/>
      <c r="F23" s="50"/>
      <c r="G23" s="50"/>
    </row>
    <row r="24" spans="2:7" ht="19.5" customHeight="1" x14ac:dyDescent="0.35">
      <c r="B24" s="7" t="s">
        <v>229</v>
      </c>
      <c r="C24" s="41" t="s">
        <v>479</v>
      </c>
      <c r="D24" s="42"/>
      <c r="E24" s="42"/>
      <c r="F24" s="42"/>
      <c r="G24" s="42"/>
    </row>
    <row r="25" spans="2:7" ht="19.5" customHeight="1" x14ac:dyDescent="0.35">
      <c r="B25" s="7" t="s">
        <v>230</v>
      </c>
      <c r="C25" s="44" t="s">
        <v>231</v>
      </c>
      <c r="D25" s="45"/>
      <c r="E25" s="45"/>
      <c r="F25" s="45"/>
      <c r="G25" s="45"/>
    </row>
    <row r="26" spans="2:7" ht="19.5" customHeight="1" x14ac:dyDescent="0.35">
      <c r="B26" s="7" t="s">
        <v>232</v>
      </c>
      <c r="C26" s="44" t="s">
        <v>233</v>
      </c>
      <c r="D26" s="45"/>
      <c r="E26" s="45"/>
      <c r="F26" s="45"/>
      <c r="G26" s="45"/>
    </row>
    <row r="27" spans="2:7" ht="19.5" customHeight="1" x14ac:dyDescent="0.35">
      <c r="B27" s="7" t="s">
        <v>234</v>
      </c>
      <c r="C27" s="44" t="s">
        <v>486</v>
      </c>
      <c r="D27" s="41"/>
      <c r="E27" s="41"/>
      <c r="F27" s="41"/>
      <c r="G27" s="41"/>
    </row>
  </sheetData>
  <mergeCells count="19">
    <mergeCell ref="C27:G27"/>
    <mergeCell ref="C5:G5"/>
    <mergeCell ref="C19:G19"/>
    <mergeCell ref="B18:G18"/>
    <mergeCell ref="C25:G25"/>
    <mergeCell ref="C8:G8"/>
    <mergeCell ref="B21:B23"/>
    <mergeCell ref="D21:G21"/>
    <mergeCell ref="D22:G22"/>
    <mergeCell ref="D23:G23"/>
    <mergeCell ref="C26:G26"/>
    <mergeCell ref="B3:G3"/>
    <mergeCell ref="B2:G2"/>
    <mergeCell ref="C24:G24"/>
    <mergeCell ref="C4:G4"/>
    <mergeCell ref="C20:G20"/>
    <mergeCell ref="C7:G7"/>
    <mergeCell ref="B10:G10"/>
    <mergeCell ref="C6:G6"/>
  </mergeCells>
  <hyperlinks>
    <hyperlink ref="E12" r:id="rId1" xr:uid="{00000000-0004-0000-0100-000000000000}"/>
    <hyperlink ref="E13" r:id="rId2" xr:uid="{00000000-0004-0000-0100-000001000000}"/>
    <hyperlink ref="E14" r:id="rId3" xr:uid="{00000000-0004-0000-0100-000002000000}"/>
    <hyperlink ref="E15" r:id="rId4" xr:uid="{00000000-0004-0000-0100-000003000000}"/>
    <hyperlink ref="E16" r:id="rId5" xr:uid="{00000000-0004-0000-0100-000004000000}"/>
    <hyperlink ref="C25" r:id="rId6" xr:uid="{00000000-0004-0000-0100-000005000000}"/>
    <hyperlink ref="C26" r:id="rId7" xr:uid="{00000000-0004-0000-0100-000006000000}"/>
    <hyperlink ref="C27" r:id="rId8" xr:uid="{6F82749A-0025-4E4C-8F6E-B67455FC89C3}"/>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I96"/>
  <sheetViews>
    <sheetView showGridLines="0" zoomScale="70" zoomScaleNormal="70" workbookViewId="0">
      <selection activeCell="R17" sqref="R17"/>
    </sheetView>
  </sheetViews>
  <sheetFormatPr defaultColWidth="8.54296875" defaultRowHeight="14.5" x14ac:dyDescent="0.35"/>
  <cols>
    <col min="1" max="1" width="3" customWidth="1"/>
    <col min="2" max="2" width="12" customWidth="1"/>
    <col min="3" max="3" width="6" customWidth="1"/>
    <col min="4" max="4" width="14.1796875" bestFit="1" customWidth="1"/>
    <col min="5" max="5" width="54.7265625" bestFit="1" customWidth="1"/>
    <col min="6" max="6" width="24.7265625" bestFit="1" customWidth="1"/>
    <col min="7" max="7" width="13.54296875" bestFit="1" customWidth="1"/>
    <col min="8" max="8" width="29.7265625" bestFit="1" customWidth="1"/>
    <col min="9" max="9" width="30.453125" bestFit="1" customWidth="1"/>
  </cols>
  <sheetData>
    <row r="1" spans="2:9" ht="13.5" customHeight="1" x14ac:dyDescent="0.35"/>
    <row r="2" spans="2:9" ht="33.75" customHeight="1" x14ac:dyDescent="0.35">
      <c r="B2" s="33" t="s">
        <v>235</v>
      </c>
      <c r="C2" s="18"/>
      <c r="D2" s="18"/>
      <c r="E2" s="18"/>
      <c r="F2" s="18"/>
      <c r="G2" s="18"/>
      <c r="H2" s="18"/>
      <c r="I2" s="19"/>
    </row>
    <row r="3" spans="2:9" ht="15.75" customHeight="1" x14ac:dyDescent="0.35">
      <c r="B3" s="32" t="s">
        <v>1</v>
      </c>
      <c r="C3" s="21"/>
      <c r="D3" s="21"/>
      <c r="E3" s="21"/>
      <c r="F3" s="21"/>
      <c r="G3" s="21"/>
      <c r="H3" s="21"/>
      <c r="I3" s="21"/>
    </row>
    <row r="5" spans="2:9" ht="21.75" customHeight="1" x14ac:dyDescent="0.35">
      <c r="B5" s="28" t="s">
        <v>2</v>
      </c>
      <c r="C5" s="18"/>
      <c r="D5" s="18"/>
      <c r="E5" s="18"/>
      <c r="F5" s="18"/>
      <c r="G5" s="18"/>
      <c r="H5" s="18"/>
      <c r="I5" s="19"/>
    </row>
    <row r="6" spans="2:9" ht="13.5" customHeight="1" x14ac:dyDescent="0.35">
      <c r="B6" s="29" t="s">
        <v>3</v>
      </c>
      <c r="C6" s="21"/>
      <c r="D6" s="21"/>
      <c r="E6" s="21"/>
      <c r="F6" s="21"/>
      <c r="G6" s="21"/>
      <c r="H6" s="21"/>
      <c r="I6" s="21"/>
    </row>
    <row r="7" spans="2:9" ht="19.5" customHeight="1" x14ac:dyDescent="0.35">
      <c r="B7" s="5" t="s">
        <v>4</v>
      </c>
      <c r="C7" s="5" t="s">
        <v>5</v>
      </c>
      <c r="D7" s="5" t="s">
        <v>6</v>
      </c>
      <c r="E7" s="5" t="s">
        <v>7</v>
      </c>
      <c r="F7" s="5" t="s">
        <v>8</v>
      </c>
      <c r="G7" s="5" t="s">
        <v>9</v>
      </c>
      <c r="H7" s="5" t="s">
        <v>10</v>
      </c>
      <c r="I7" s="5" t="s">
        <v>11</v>
      </c>
    </row>
    <row r="8" spans="2:9" ht="18" customHeight="1" x14ac:dyDescent="0.35">
      <c r="B8" s="4" t="s">
        <v>236</v>
      </c>
      <c r="C8" s="4" t="s">
        <v>13</v>
      </c>
      <c r="D8" s="4" t="s">
        <v>14</v>
      </c>
      <c r="E8" s="4" t="s">
        <v>237</v>
      </c>
      <c r="F8" s="4" t="s">
        <v>238</v>
      </c>
      <c r="G8" s="4" t="s">
        <v>17</v>
      </c>
      <c r="H8" s="4" t="s">
        <v>239</v>
      </c>
      <c r="I8" s="4" t="s">
        <v>240</v>
      </c>
    </row>
    <row r="9" spans="2:9" ht="18" customHeight="1" x14ac:dyDescent="0.35">
      <c r="B9" s="4" t="s">
        <v>236</v>
      </c>
      <c r="C9" s="4" t="s">
        <v>20</v>
      </c>
      <c r="D9" s="4" t="s">
        <v>14</v>
      </c>
      <c r="E9" s="4" t="s">
        <v>241</v>
      </c>
      <c r="F9" s="4" t="s">
        <v>242</v>
      </c>
      <c r="G9" s="4" t="s">
        <v>23</v>
      </c>
      <c r="H9" s="4" t="s">
        <v>243</v>
      </c>
      <c r="I9" s="4" t="s">
        <v>244</v>
      </c>
    </row>
    <row r="10" spans="2:9" ht="18" customHeight="1" x14ac:dyDescent="0.35">
      <c r="B10" s="4" t="s">
        <v>245</v>
      </c>
      <c r="C10" s="4" t="s">
        <v>31</v>
      </c>
      <c r="D10" s="4" t="s">
        <v>32</v>
      </c>
      <c r="E10" s="4" t="s">
        <v>246</v>
      </c>
      <c r="F10" s="4" t="s">
        <v>247</v>
      </c>
      <c r="G10" s="4" t="s">
        <v>23</v>
      </c>
      <c r="H10" s="4" t="s">
        <v>248</v>
      </c>
      <c r="I10" s="4" t="s">
        <v>249</v>
      </c>
    </row>
    <row r="11" spans="2:9" ht="18" customHeight="1" x14ac:dyDescent="0.35">
      <c r="B11" s="4" t="s">
        <v>250</v>
      </c>
      <c r="C11" s="4" t="s">
        <v>26</v>
      </c>
      <c r="D11" s="4" t="s">
        <v>14</v>
      </c>
      <c r="E11" s="4" t="s">
        <v>251</v>
      </c>
      <c r="F11" s="4" t="s">
        <v>252</v>
      </c>
      <c r="G11" s="4" t="s">
        <v>23</v>
      </c>
      <c r="H11" s="4" t="s">
        <v>253</v>
      </c>
      <c r="I11" s="4" t="s">
        <v>254</v>
      </c>
    </row>
    <row r="12" spans="2:9" ht="18" customHeight="1" x14ac:dyDescent="0.35">
      <c r="B12" s="4" t="s">
        <v>255</v>
      </c>
      <c r="C12" s="4" t="s">
        <v>37</v>
      </c>
      <c r="D12" s="4" t="s">
        <v>14</v>
      </c>
      <c r="E12" s="4" t="s">
        <v>256</v>
      </c>
      <c r="F12" s="4" t="s">
        <v>238</v>
      </c>
      <c r="G12" s="4" t="s">
        <v>17</v>
      </c>
      <c r="H12" s="4" t="s">
        <v>257</v>
      </c>
      <c r="I12" s="4" t="s">
        <v>258</v>
      </c>
    </row>
    <row r="13" spans="2:9" ht="18" customHeight="1" x14ac:dyDescent="0.35">
      <c r="B13" s="4" t="s">
        <v>259</v>
      </c>
      <c r="C13" s="4" t="s">
        <v>37</v>
      </c>
      <c r="D13" s="4" t="s">
        <v>14</v>
      </c>
      <c r="E13" s="4" t="s">
        <v>260</v>
      </c>
      <c r="F13" t="s">
        <v>261</v>
      </c>
      <c r="G13" s="4" t="s">
        <v>23</v>
      </c>
      <c r="H13" s="4" t="s">
        <v>262</v>
      </c>
      <c r="I13" s="4" t="s">
        <v>263</v>
      </c>
    </row>
    <row r="14" spans="2:9" ht="18" customHeight="1" x14ac:dyDescent="0.35">
      <c r="B14" s="4" t="s">
        <v>264</v>
      </c>
      <c r="C14" s="4" t="s">
        <v>20</v>
      </c>
      <c r="D14" s="4" t="s">
        <v>14</v>
      </c>
      <c r="E14" s="4" t="s">
        <v>265</v>
      </c>
      <c r="F14" s="4" t="s">
        <v>266</v>
      </c>
      <c r="G14" s="4" t="s">
        <v>17</v>
      </c>
      <c r="H14" s="4" t="s">
        <v>267</v>
      </c>
      <c r="I14" t="s">
        <v>268</v>
      </c>
    </row>
    <row r="15" spans="2:9" ht="18" customHeight="1" x14ac:dyDescent="0.35">
      <c r="B15" s="4" t="s">
        <v>264</v>
      </c>
      <c r="C15" s="4" t="s">
        <v>26</v>
      </c>
      <c r="D15" s="4" t="s">
        <v>14</v>
      </c>
      <c r="E15" s="4" t="s">
        <v>269</v>
      </c>
      <c r="F15" s="4" t="s">
        <v>270</v>
      </c>
      <c r="G15" s="4" t="s">
        <v>17</v>
      </c>
      <c r="H15" s="4" t="s">
        <v>271</v>
      </c>
      <c r="I15" s="4" t="s">
        <v>272</v>
      </c>
    </row>
    <row r="17" spans="2:9" ht="21.75" customHeight="1" x14ac:dyDescent="0.35">
      <c r="B17" s="26" t="s">
        <v>55</v>
      </c>
      <c r="C17" s="18"/>
      <c r="D17" s="18"/>
      <c r="E17" s="18"/>
      <c r="F17" s="18"/>
      <c r="G17" s="18"/>
      <c r="H17" s="18"/>
      <c r="I17" s="19"/>
    </row>
    <row r="18" spans="2:9" ht="13.5" customHeight="1" x14ac:dyDescent="0.35">
      <c r="B18" s="29" t="s">
        <v>56</v>
      </c>
      <c r="C18" s="21"/>
      <c r="D18" s="21"/>
      <c r="E18" s="21"/>
      <c r="F18" s="21"/>
      <c r="G18" s="21"/>
      <c r="H18" s="21"/>
      <c r="I18" s="21"/>
    </row>
    <row r="19" spans="2:9" ht="19.5" customHeight="1" x14ac:dyDescent="0.35">
      <c r="B19" s="2" t="s">
        <v>57</v>
      </c>
      <c r="C19" s="2" t="s">
        <v>5</v>
      </c>
      <c r="D19" s="34" t="s">
        <v>58</v>
      </c>
      <c r="E19" s="18"/>
      <c r="F19" s="19"/>
      <c r="G19" s="34" t="s">
        <v>59</v>
      </c>
      <c r="H19" s="19"/>
      <c r="I19" s="2" t="s">
        <v>60</v>
      </c>
    </row>
    <row r="20" spans="2:9" ht="15.75" customHeight="1" x14ac:dyDescent="0.35">
      <c r="B20" s="30" t="s">
        <v>61</v>
      </c>
      <c r="C20" s="18"/>
      <c r="D20" s="18"/>
      <c r="E20" s="18"/>
      <c r="F20" s="18"/>
      <c r="G20" s="18"/>
      <c r="H20" s="18"/>
      <c r="I20" s="19"/>
    </row>
    <row r="21" spans="2:9" ht="18" customHeight="1" x14ac:dyDescent="0.35">
      <c r="B21" s="4"/>
      <c r="C21" s="4" t="s">
        <v>13</v>
      </c>
      <c r="D21" s="4"/>
      <c r="E21" s="4" t="s">
        <v>273</v>
      </c>
      <c r="F21" s="4"/>
      <c r="G21" s="4"/>
      <c r="H21" s="4" t="s">
        <v>274</v>
      </c>
      <c r="I21" s="4" t="s">
        <v>275</v>
      </c>
    </row>
    <row r="22" spans="2:9" ht="18" customHeight="1" x14ac:dyDescent="0.35">
      <c r="B22" s="4"/>
      <c r="C22" s="4" t="s">
        <v>20</v>
      </c>
      <c r="D22" s="4"/>
      <c r="E22" s="4" t="s">
        <v>276</v>
      </c>
      <c r="F22" s="4"/>
      <c r="G22" s="4"/>
      <c r="H22" t="s">
        <v>242</v>
      </c>
      <c r="I22" s="4" t="s">
        <v>277</v>
      </c>
    </row>
    <row r="23" spans="2:9" ht="18" customHeight="1" x14ac:dyDescent="0.35">
      <c r="B23" s="4"/>
      <c r="C23" s="4" t="s">
        <v>26</v>
      </c>
      <c r="D23" s="4"/>
      <c r="E23" s="4" t="s">
        <v>278</v>
      </c>
      <c r="F23" s="4"/>
      <c r="G23" s="4"/>
      <c r="H23" s="4" t="s">
        <v>252</v>
      </c>
      <c r="I23" s="4" t="s">
        <v>279</v>
      </c>
    </row>
    <row r="24" spans="2:9" ht="18" customHeight="1" x14ac:dyDescent="0.35">
      <c r="B24" s="4"/>
      <c r="C24" s="4" t="s">
        <v>37</v>
      </c>
      <c r="D24" s="4"/>
      <c r="E24" s="4" t="s">
        <v>280</v>
      </c>
      <c r="F24" s="4"/>
      <c r="G24" s="4"/>
      <c r="H24" s="4" t="s">
        <v>238</v>
      </c>
      <c r="I24" s="4" t="s">
        <v>281</v>
      </c>
    </row>
    <row r="25" spans="2:9" ht="18" customHeight="1" x14ac:dyDescent="0.35">
      <c r="B25" s="4"/>
      <c r="C25" s="4" t="s">
        <v>31</v>
      </c>
      <c r="D25" s="4"/>
      <c r="E25" s="4" t="s">
        <v>282</v>
      </c>
      <c r="F25" s="4"/>
      <c r="G25" s="4"/>
      <c r="H25" s="4" t="s">
        <v>247</v>
      </c>
      <c r="I25" s="4" t="s">
        <v>283</v>
      </c>
    </row>
    <row r="26" spans="2:9" ht="15.75" customHeight="1" x14ac:dyDescent="0.35">
      <c r="B26" s="30" t="s">
        <v>70</v>
      </c>
      <c r="C26" s="18"/>
      <c r="D26" s="18"/>
      <c r="E26" s="18"/>
      <c r="F26" s="18"/>
      <c r="G26" s="18"/>
      <c r="H26" s="18"/>
      <c r="I26" s="19"/>
    </row>
    <row r="27" spans="2:9" ht="18" customHeight="1" x14ac:dyDescent="0.35">
      <c r="B27" s="4"/>
      <c r="C27" s="4" t="s">
        <v>26</v>
      </c>
      <c r="D27" s="4"/>
      <c r="E27" s="4" t="s">
        <v>284</v>
      </c>
      <c r="F27" s="4"/>
      <c r="G27" s="4"/>
      <c r="H27" s="4" t="s">
        <v>252</v>
      </c>
      <c r="I27" s="4" t="s">
        <v>285</v>
      </c>
    </row>
    <row r="28" spans="2:9" ht="18" customHeight="1" x14ac:dyDescent="0.35">
      <c r="B28" s="4"/>
      <c r="C28" s="4" t="s">
        <v>31</v>
      </c>
      <c r="D28" s="4"/>
      <c r="E28" s="4" t="s">
        <v>286</v>
      </c>
      <c r="F28" s="4"/>
      <c r="G28" s="4"/>
      <c r="H28" s="4" t="s">
        <v>247</v>
      </c>
      <c r="I28" s="4" t="s">
        <v>287</v>
      </c>
    </row>
    <row r="29" spans="2:9" ht="18" customHeight="1" x14ac:dyDescent="0.35">
      <c r="B29" s="4"/>
      <c r="C29" s="4" t="s">
        <v>20</v>
      </c>
      <c r="D29" s="4"/>
      <c r="E29" s="4" t="s">
        <v>288</v>
      </c>
      <c r="F29" s="4"/>
      <c r="G29" s="4"/>
      <c r="H29" s="4" t="s">
        <v>289</v>
      </c>
      <c r="I29" s="4" t="s">
        <v>290</v>
      </c>
    </row>
    <row r="30" spans="2:9" ht="15.75" customHeight="1" x14ac:dyDescent="0.35">
      <c r="B30" s="30" t="s">
        <v>77</v>
      </c>
      <c r="C30" s="18"/>
      <c r="D30" s="18"/>
      <c r="E30" s="18"/>
      <c r="F30" s="18"/>
      <c r="G30" s="18"/>
      <c r="H30" s="18"/>
      <c r="I30" s="19"/>
    </row>
    <row r="31" spans="2:9" ht="18" customHeight="1" x14ac:dyDescent="0.35">
      <c r="B31" s="4"/>
      <c r="C31" s="4" t="s">
        <v>13</v>
      </c>
      <c r="D31" s="4"/>
      <c r="E31" s="4" t="s">
        <v>291</v>
      </c>
      <c r="F31" s="4"/>
      <c r="G31" s="4"/>
      <c r="H31" t="s">
        <v>292</v>
      </c>
      <c r="I31" s="4" t="s">
        <v>293</v>
      </c>
    </row>
    <row r="32" spans="2:9" ht="18" customHeight="1" x14ac:dyDescent="0.35">
      <c r="B32" s="4"/>
      <c r="C32" s="4" t="s">
        <v>37</v>
      </c>
      <c r="D32" s="4"/>
      <c r="E32" s="4" t="s">
        <v>294</v>
      </c>
      <c r="F32" s="4"/>
      <c r="G32" s="4"/>
      <c r="H32" s="4" t="s">
        <v>261</v>
      </c>
      <c r="I32" s="4" t="s">
        <v>295</v>
      </c>
    </row>
    <row r="33" spans="2:9" ht="18" customHeight="1" x14ac:dyDescent="0.35">
      <c r="B33" s="4"/>
      <c r="C33" s="4" t="s">
        <v>26</v>
      </c>
      <c r="D33" s="4"/>
      <c r="E33" s="4" t="s">
        <v>296</v>
      </c>
      <c r="F33" s="4"/>
      <c r="G33" s="4"/>
      <c r="H33" s="4" t="s">
        <v>297</v>
      </c>
      <c r="I33" s="4" t="s">
        <v>298</v>
      </c>
    </row>
    <row r="34" spans="2:9" ht="15.75" customHeight="1" x14ac:dyDescent="0.35">
      <c r="B34" s="30" t="s">
        <v>85</v>
      </c>
      <c r="C34" s="18"/>
      <c r="D34" s="18"/>
      <c r="E34" s="18"/>
      <c r="F34" s="18"/>
      <c r="G34" s="18"/>
      <c r="H34" s="18"/>
      <c r="I34" s="19"/>
    </row>
    <row r="35" spans="2:9" ht="18" customHeight="1" x14ac:dyDescent="0.35">
      <c r="B35" s="4"/>
      <c r="C35" s="4" t="s">
        <v>31</v>
      </c>
      <c r="D35" s="4"/>
      <c r="E35" s="4" t="s">
        <v>299</v>
      </c>
      <c r="F35" s="4"/>
      <c r="G35" s="4"/>
      <c r="H35" s="4" t="s">
        <v>300</v>
      </c>
      <c r="I35" s="4" t="s">
        <v>301</v>
      </c>
    </row>
    <row r="36" spans="2:9" ht="18" customHeight="1" x14ac:dyDescent="0.35">
      <c r="B36" s="4"/>
      <c r="C36" s="4" t="s">
        <v>20</v>
      </c>
      <c r="D36" s="4"/>
      <c r="E36" s="4" t="s">
        <v>302</v>
      </c>
      <c r="F36" s="4"/>
      <c r="G36" s="4"/>
      <c r="H36" s="4" t="s">
        <v>242</v>
      </c>
      <c r="I36" s="4" t="s">
        <v>303</v>
      </c>
    </row>
    <row r="37" spans="2:9" ht="18" customHeight="1" x14ac:dyDescent="0.35">
      <c r="B37" s="4"/>
      <c r="C37" s="4"/>
      <c r="D37" s="4"/>
      <c r="E37" s="4"/>
      <c r="F37" s="4"/>
      <c r="G37" s="4"/>
      <c r="H37" s="4"/>
      <c r="I37" s="4"/>
    </row>
    <row r="39" spans="2:9" ht="21.75" customHeight="1" x14ac:dyDescent="0.35">
      <c r="B39" s="36" t="s">
        <v>90</v>
      </c>
      <c r="C39" s="18"/>
      <c r="D39" s="18"/>
      <c r="E39" s="18"/>
      <c r="F39" s="18"/>
      <c r="G39" s="18"/>
      <c r="H39" s="18"/>
      <c r="I39" s="19"/>
    </row>
    <row r="40" spans="2:9" ht="13.5" customHeight="1" x14ac:dyDescent="0.35">
      <c r="B40" s="51" t="s">
        <v>91</v>
      </c>
      <c r="C40" s="18"/>
      <c r="D40" s="18"/>
      <c r="E40" s="18"/>
      <c r="F40" s="18"/>
      <c r="G40" s="18"/>
      <c r="H40" s="18"/>
      <c r="I40" s="18"/>
    </row>
    <row r="41" spans="2:9" ht="19.5" customHeight="1" x14ac:dyDescent="0.35">
      <c r="B41" s="1" t="s">
        <v>92</v>
      </c>
      <c r="C41" s="1" t="s">
        <v>93</v>
      </c>
      <c r="D41" s="1" t="s">
        <v>94</v>
      </c>
      <c r="E41" s="24" t="s">
        <v>95</v>
      </c>
      <c r="F41" s="18"/>
      <c r="G41" s="18"/>
      <c r="H41" s="18"/>
      <c r="I41" s="19"/>
    </row>
    <row r="42" spans="2:9" ht="21.75" customHeight="1" x14ac:dyDescent="0.35">
      <c r="B42" s="22" t="s">
        <v>96</v>
      </c>
      <c r="C42" s="18"/>
      <c r="D42" s="19"/>
      <c r="E42" s="17" t="s">
        <v>304</v>
      </c>
      <c r="F42" s="18"/>
      <c r="G42" s="18"/>
      <c r="H42" s="18"/>
      <c r="I42" s="19"/>
    </row>
    <row r="43" spans="2:9" ht="21.75" customHeight="1" x14ac:dyDescent="0.35">
      <c r="B43" s="23" t="s">
        <v>98</v>
      </c>
      <c r="C43" s="18"/>
      <c r="D43" s="19"/>
      <c r="E43" s="17" t="s">
        <v>305</v>
      </c>
      <c r="F43" s="18"/>
      <c r="G43" s="18"/>
      <c r="H43" s="18"/>
      <c r="I43" s="19"/>
    </row>
    <row r="44" spans="2:9" ht="21.75" customHeight="1" x14ac:dyDescent="0.35">
      <c r="B44" s="23" t="s">
        <v>100</v>
      </c>
      <c r="C44" s="18"/>
      <c r="D44" s="19"/>
      <c r="E44" s="17" t="s">
        <v>306</v>
      </c>
      <c r="F44" s="18"/>
      <c r="G44" s="18"/>
      <c r="H44" s="18"/>
      <c r="I44" s="19"/>
    </row>
    <row r="45" spans="2:9" ht="21.75" customHeight="1" x14ac:dyDescent="0.35">
      <c r="B45" s="23" t="s">
        <v>102</v>
      </c>
      <c r="C45" s="18"/>
      <c r="D45" s="19"/>
      <c r="E45" s="17" t="s">
        <v>307</v>
      </c>
      <c r="F45" s="18"/>
      <c r="G45" s="18"/>
      <c r="H45" s="18"/>
      <c r="I45" s="19"/>
    </row>
    <row r="46" spans="2:9" ht="21.75" customHeight="1" x14ac:dyDescent="0.35">
      <c r="B46" s="22" t="s">
        <v>104</v>
      </c>
      <c r="C46" s="18"/>
      <c r="D46" s="19"/>
      <c r="E46" s="17" t="s">
        <v>308</v>
      </c>
      <c r="F46" s="18"/>
      <c r="G46" s="18"/>
      <c r="H46" s="18"/>
      <c r="I46" s="19"/>
    </row>
    <row r="47" spans="2:9" ht="21.75" customHeight="1" x14ac:dyDescent="0.35">
      <c r="B47" s="23" t="s">
        <v>98</v>
      </c>
      <c r="C47" s="18"/>
      <c r="D47" s="19"/>
      <c r="E47" s="17" t="s">
        <v>309</v>
      </c>
      <c r="F47" s="18"/>
      <c r="G47" s="18"/>
      <c r="H47" s="18"/>
      <c r="I47" s="19"/>
    </row>
    <row r="48" spans="2:9" ht="21.75" customHeight="1" x14ac:dyDescent="0.35">
      <c r="B48" s="23" t="s">
        <v>100</v>
      </c>
      <c r="C48" s="18"/>
      <c r="D48" s="19"/>
      <c r="E48" s="17" t="s">
        <v>310</v>
      </c>
      <c r="F48" s="18"/>
      <c r="G48" s="18"/>
      <c r="H48" s="18"/>
      <c r="I48" s="19"/>
    </row>
    <row r="49" spans="2:9" ht="21.75" customHeight="1" x14ac:dyDescent="0.35">
      <c r="B49" s="23" t="s">
        <v>102</v>
      </c>
      <c r="C49" s="18"/>
      <c r="D49" s="19"/>
      <c r="E49" s="17" t="s">
        <v>311</v>
      </c>
      <c r="F49" s="18"/>
      <c r="G49" s="18"/>
      <c r="H49" s="18"/>
      <c r="I49" s="19"/>
    </row>
    <row r="50" spans="2:9" ht="21.75" customHeight="1" x14ac:dyDescent="0.35">
      <c r="B50" s="22" t="s">
        <v>109</v>
      </c>
      <c r="C50" s="18"/>
      <c r="D50" s="19"/>
      <c r="E50" s="17" t="s">
        <v>312</v>
      </c>
      <c r="F50" s="18"/>
      <c r="G50" s="18"/>
      <c r="H50" s="18"/>
      <c r="I50" s="19"/>
    </row>
    <row r="51" spans="2:9" ht="21.75" customHeight="1" x14ac:dyDescent="0.35">
      <c r="B51" s="23" t="s">
        <v>98</v>
      </c>
      <c r="C51" s="18"/>
      <c r="D51" s="19"/>
      <c r="E51" s="17" t="s">
        <v>313</v>
      </c>
      <c r="F51" s="18"/>
      <c r="G51" s="18"/>
      <c r="H51" s="18"/>
      <c r="I51" s="19"/>
    </row>
    <row r="52" spans="2:9" ht="21.75" customHeight="1" x14ac:dyDescent="0.35">
      <c r="B52" s="23" t="s">
        <v>100</v>
      </c>
      <c r="C52" s="18"/>
      <c r="D52" s="19"/>
      <c r="E52" s="17" t="s">
        <v>314</v>
      </c>
      <c r="F52" s="18"/>
      <c r="G52" s="18"/>
      <c r="H52" s="18"/>
      <c r="I52" s="19"/>
    </row>
    <row r="53" spans="2:9" ht="21.75" customHeight="1" x14ac:dyDescent="0.35">
      <c r="B53" s="23" t="s">
        <v>102</v>
      </c>
      <c r="C53" s="18"/>
      <c r="D53" s="19"/>
      <c r="E53" s="17" t="s">
        <v>315</v>
      </c>
      <c r="F53" s="18"/>
      <c r="G53" s="18"/>
      <c r="H53" s="18"/>
      <c r="I53" s="19"/>
    </row>
    <row r="54" spans="2:9" ht="21.75" customHeight="1" x14ac:dyDescent="0.35">
      <c r="B54" s="22" t="s">
        <v>114</v>
      </c>
      <c r="C54" s="18"/>
      <c r="D54" s="19"/>
      <c r="E54" s="17" t="s">
        <v>316</v>
      </c>
      <c r="F54" s="18"/>
      <c r="G54" s="18"/>
      <c r="H54" s="18"/>
      <c r="I54" s="19"/>
    </row>
    <row r="55" spans="2:9" ht="21.75" customHeight="1" x14ac:dyDescent="0.35">
      <c r="B55" s="23" t="s">
        <v>98</v>
      </c>
      <c r="C55" s="18"/>
      <c r="D55" s="19"/>
      <c r="E55" s="17" t="s">
        <v>317</v>
      </c>
      <c r="F55" s="18"/>
      <c r="G55" s="18"/>
      <c r="H55" s="18"/>
      <c r="I55" s="19"/>
    </row>
    <row r="56" spans="2:9" ht="21.75" customHeight="1" x14ac:dyDescent="0.35">
      <c r="B56" s="23" t="s">
        <v>100</v>
      </c>
      <c r="C56" s="18"/>
      <c r="D56" s="19"/>
      <c r="E56" s="17" t="s">
        <v>318</v>
      </c>
      <c r="F56" s="18"/>
      <c r="G56" s="18"/>
      <c r="H56" s="18"/>
      <c r="I56" s="19"/>
    </row>
    <row r="57" spans="2:9" ht="21.75" customHeight="1" x14ac:dyDescent="0.35">
      <c r="B57" s="23" t="s">
        <v>102</v>
      </c>
      <c r="C57" s="18"/>
      <c r="D57" s="19"/>
      <c r="E57" s="17" t="s">
        <v>319</v>
      </c>
      <c r="F57" s="18"/>
      <c r="G57" s="18"/>
      <c r="H57" s="18"/>
      <c r="I57" s="19"/>
    </row>
    <row r="58" spans="2:9" x14ac:dyDescent="0.35">
      <c r="E58" s="17"/>
      <c r="F58" s="18"/>
      <c r="G58" s="18"/>
      <c r="H58" s="18"/>
      <c r="I58" s="19"/>
    </row>
    <row r="59" spans="2:9" ht="21.75" customHeight="1" x14ac:dyDescent="0.35">
      <c r="B59" s="35" t="s">
        <v>119</v>
      </c>
      <c r="C59" s="18"/>
      <c r="D59" s="18"/>
      <c r="E59" s="18"/>
      <c r="F59" s="18"/>
      <c r="G59" s="18"/>
      <c r="H59" s="18"/>
      <c r="I59" s="19"/>
    </row>
    <row r="60" spans="2:9" ht="13.5" customHeight="1" x14ac:dyDescent="0.35">
      <c r="B60" s="51" t="s">
        <v>120</v>
      </c>
      <c r="C60" s="18"/>
      <c r="D60" s="18"/>
      <c r="E60" s="18"/>
      <c r="F60" s="18"/>
      <c r="G60" s="18"/>
      <c r="H60" s="18"/>
      <c r="I60" s="18"/>
    </row>
    <row r="61" spans="2:9" ht="18" customHeight="1" x14ac:dyDescent="0.35">
      <c r="B61" s="27" t="s">
        <v>121</v>
      </c>
      <c r="C61" s="18"/>
      <c r="D61" s="18"/>
      <c r="E61" s="18"/>
      <c r="F61" s="18"/>
      <c r="G61" s="18"/>
      <c r="H61" s="18"/>
      <c r="I61" s="19"/>
    </row>
    <row r="62" spans="2:9" ht="18" customHeight="1" x14ac:dyDescent="0.35">
      <c r="B62" s="25" t="s">
        <v>122</v>
      </c>
      <c r="C62" s="18"/>
      <c r="D62" s="19"/>
      <c r="E62" s="20" t="s">
        <v>320</v>
      </c>
      <c r="F62" s="21"/>
      <c r="G62" s="21"/>
      <c r="H62" s="21"/>
      <c r="I62" s="21"/>
    </row>
    <row r="63" spans="2:9" ht="28.5" customHeight="1" x14ac:dyDescent="0.35">
      <c r="B63" s="25" t="s">
        <v>124</v>
      </c>
      <c r="C63" s="18"/>
      <c r="D63" s="19"/>
      <c r="E63" s="20" t="s">
        <v>321</v>
      </c>
      <c r="F63" s="21"/>
      <c r="G63" s="21"/>
      <c r="H63" s="21"/>
      <c r="I63" s="21"/>
    </row>
    <row r="64" spans="2:9" ht="31.5" customHeight="1" x14ac:dyDescent="0.35">
      <c r="B64" s="25" t="s">
        <v>126</v>
      </c>
      <c r="C64" s="18"/>
      <c r="D64" s="19"/>
      <c r="E64" s="20" t="s">
        <v>322</v>
      </c>
      <c r="F64" s="21"/>
      <c r="G64" s="21"/>
      <c r="H64" s="21"/>
      <c r="I64" s="21"/>
    </row>
    <row r="65" spans="2:9" ht="18" customHeight="1" x14ac:dyDescent="0.35">
      <c r="B65" s="25" t="s">
        <v>128</v>
      </c>
      <c r="C65" s="18"/>
      <c r="D65" s="19"/>
      <c r="E65" s="20" t="s">
        <v>323</v>
      </c>
      <c r="F65" s="21"/>
      <c r="G65" s="21"/>
      <c r="H65" s="21"/>
      <c r="I65" s="21"/>
    </row>
    <row r="66" spans="2:9" ht="18" customHeight="1" x14ac:dyDescent="0.35">
      <c r="B66" s="25" t="s">
        <v>130</v>
      </c>
      <c r="C66" s="18"/>
      <c r="D66" s="19"/>
      <c r="E66" s="20" t="s">
        <v>324</v>
      </c>
      <c r="F66" s="21"/>
      <c r="G66" s="21"/>
      <c r="H66" s="21"/>
      <c r="I66" s="21"/>
    </row>
    <row r="68" spans="2:9" ht="18" customHeight="1" x14ac:dyDescent="0.35">
      <c r="B68" s="27" t="s">
        <v>132</v>
      </c>
      <c r="C68" s="18"/>
      <c r="D68" s="18"/>
      <c r="E68" s="18"/>
      <c r="F68" s="18"/>
      <c r="G68" s="18"/>
      <c r="H68" s="18"/>
      <c r="I68" s="19"/>
    </row>
    <row r="69" spans="2:9" ht="18" customHeight="1" x14ac:dyDescent="0.35">
      <c r="B69" s="25" t="s">
        <v>122</v>
      </c>
      <c r="C69" s="18"/>
      <c r="D69" s="19"/>
      <c r="E69" s="20" t="s">
        <v>325</v>
      </c>
      <c r="F69" s="21"/>
      <c r="G69" s="21"/>
      <c r="H69" s="21"/>
      <c r="I69" s="21"/>
    </row>
    <row r="70" spans="2:9" ht="18" customHeight="1" x14ac:dyDescent="0.35">
      <c r="B70" s="25" t="s">
        <v>124</v>
      </c>
      <c r="C70" s="18"/>
      <c r="D70" s="19"/>
      <c r="E70" s="20" t="s">
        <v>326</v>
      </c>
      <c r="F70" s="21"/>
      <c r="G70" s="21"/>
      <c r="H70" s="21"/>
      <c r="I70" s="21"/>
    </row>
    <row r="71" spans="2:9" ht="36.65" customHeight="1" x14ac:dyDescent="0.35">
      <c r="B71" s="25" t="s">
        <v>126</v>
      </c>
      <c r="C71" s="18"/>
      <c r="D71" s="19"/>
      <c r="E71" s="20" t="s">
        <v>327</v>
      </c>
      <c r="F71" s="21"/>
      <c r="G71" s="21"/>
      <c r="H71" s="21"/>
      <c r="I71" s="21"/>
    </row>
    <row r="72" spans="2:9" ht="18" customHeight="1" x14ac:dyDescent="0.35">
      <c r="B72" s="25" t="s">
        <v>128</v>
      </c>
      <c r="C72" s="18"/>
      <c r="D72" s="19"/>
      <c r="E72" s="20" t="s">
        <v>328</v>
      </c>
      <c r="F72" s="21"/>
      <c r="G72" s="21"/>
      <c r="H72" s="21"/>
      <c r="I72" s="21"/>
    </row>
    <row r="73" spans="2:9" ht="18" customHeight="1" x14ac:dyDescent="0.35">
      <c r="B73" s="25" t="s">
        <v>130</v>
      </c>
      <c r="C73" s="18"/>
      <c r="D73" s="19"/>
      <c r="E73" s="20" t="s">
        <v>329</v>
      </c>
      <c r="F73" s="21"/>
      <c r="G73" s="21"/>
      <c r="H73" s="21"/>
      <c r="I73" s="21"/>
    </row>
    <row r="75" spans="2:9" ht="18" customHeight="1" x14ac:dyDescent="0.35">
      <c r="B75" s="27" t="s">
        <v>138</v>
      </c>
      <c r="C75" s="18"/>
      <c r="D75" s="18"/>
      <c r="E75" s="18"/>
      <c r="F75" s="18"/>
      <c r="G75" s="18"/>
      <c r="H75" s="18"/>
      <c r="I75" s="19"/>
    </row>
    <row r="76" spans="2:9" ht="18" customHeight="1" x14ac:dyDescent="0.35">
      <c r="B76" s="25" t="s">
        <v>122</v>
      </c>
      <c r="C76" s="18"/>
      <c r="D76" s="19"/>
      <c r="E76" s="23" t="s">
        <v>330</v>
      </c>
      <c r="F76" s="18"/>
      <c r="G76" s="18"/>
      <c r="H76" s="18"/>
      <c r="I76" s="19"/>
    </row>
    <row r="77" spans="2:9" ht="18" customHeight="1" x14ac:dyDescent="0.35">
      <c r="B77" s="25" t="s">
        <v>124</v>
      </c>
      <c r="C77" s="18"/>
      <c r="D77" s="19"/>
      <c r="E77" s="23" t="s">
        <v>331</v>
      </c>
      <c r="F77" s="18"/>
      <c r="G77" s="18"/>
      <c r="H77" s="18"/>
      <c r="I77" s="19"/>
    </row>
    <row r="78" spans="2:9" ht="31.5" customHeight="1" x14ac:dyDescent="0.35">
      <c r="B78" s="25" t="s">
        <v>126</v>
      </c>
      <c r="C78" s="18"/>
      <c r="D78" s="19"/>
      <c r="E78" s="23" t="s">
        <v>332</v>
      </c>
      <c r="F78" s="18"/>
      <c r="G78" s="18"/>
      <c r="H78" s="18"/>
      <c r="I78" s="19"/>
    </row>
    <row r="79" spans="2:9" ht="18" customHeight="1" x14ac:dyDescent="0.35">
      <c r="B79" s="25" t="s">
        <v>128</v>
      </c>
      <c r="C79" s="18"/>
      <c r="D79" s="19"/>
      <c r="E79" s="23" t="s">
        <v>333</v>
      </c>
      <c r="F79" s="18"/>
      <c r="G79" s="18"/>
      <c r="H79" s="18"/>
      <c r="I79" s="19"/>
    </row>
    <row r="80" spans="2:9" ht="18" customHeight="1" x14ac:dyDescent="0.35">
      <c r="B80" s="25" t="s">
        <v>130</v>
      </c>
      <c r="C80" s="18"/>
      <c r="D80" s="19"/>
      <c r="E80" s="23" t="s">
        <v>334</v>
      </c>
      <c r="F80" s="18"/>
      <c r="G80" s="18"/>
      <c r="H80" s="18"/>
      <c r="I80" s="19"/>
    </row>
    <row r="82" spans="2:9" ht="18" customHeight="1" x14ac:dyDescent="0.35">
      <c r="B82" s="27" t="s">
        <v>144</v>
      </c>
      <c r="C82" s="18"/>
      <c r="D82" s="18"/>
      <c r="E82" s="18"/>
      <c r="F82" s="18"/>
      <c r="G82" s="18"/>
      <c r="H82" s="18"/>
      <c r="I82" s="19"/>
    </row>
    <row r="83" spans="2:9" ht="18" customHeight="1" x14ac:dyDescent="0.35">
      <c r="B83" s="25" t="s">
        <v>122</v>
      </c>
      <c r="C83" s="18"/>
      <c r="D83" s="19"/>
      <c r="E83" s="23" t="s">
        <v>335</v>
      </c>
      <c r="F83" s="18"/>
      <c r="G83" s="18"/>
      <c r="H83" s="18"/>
      <c r="I83" s="19"/>
    </row>
    <row r="84" spans="2:9" ht="18" customHeight="1" x14ac:dyDescent="0.35">
      <c r="B84" s="25" t="s">
        <v>124</v>
      </c>
      <c r="C84" s="18"/>
      <c r="D84" s="19"/>
      <c r="E84" s="23" t="s">
        <v>336</v>
      </c>
      <c r="F84" s="18"/>
      <c r="G84" s="18"/>
      <c r="H84" s="18"/>
      <c r="I84" s="19"/>
    </row>
    <row r="85" spans="2:9" ht="29.5" customHeight="1" x14ac:dyDescent="0.35">
      <c r="B85" s="25" t="s">
        <v>126</v>
      </c>
      <c r="C85" s="18"/>
      <c r="D85" s="19"/>
      <c r="E85" s="23" t="s">
        <v>337</v>
      </c>
      <c r="F85" s="18"/>
      <c r="G85" s="18"/>
      <c r="H85" s="18"/>
      <c r="I85" s="19"/>
    </row>
    <row r="86" spans="2:9" ht="18" customHeight="1" x14ac:dyDescent="0.35">
      <c r="B86" s="25" t="s">
        <v>128</v>
      </c>
      <c r="C86" s="18"/>
      <c r="D86" s="19"/>
      <c r="E86" s="23" t="s">
        <v>338</v>
      </c>
      <c r="F86" s="18"/>
      <c r="G86" s="18"/>
      <c r="H86" s="18"/>
      <c r="I86" s="19"/>
    </row>
    <row r="87" spans="2:9" ht="18" customHeight="1" x14ac:dyDescent="0.35">
      <c r="B87" s="25" t="s">
        <v>130</v>
      </c>
      <c r="C87" s="18"/>
      <c r="D87" s="19"/>
      <c r="E87" s="23" t="s">
        <v>339</v>
      </c>
      <c r="F87" s="18"/>
      <c r="G87" s="18"/>
      <c r="H87" s="18"/>
      <c r="I87" s="19"/>
    </row>
    <row r="89" spans="2:9" ht="18" customHeight="1" x14ac:dyDescent="0.35">
      <c r="B89" s="27" t="s">
        <v>150</v>
      </c>
      <c r="C89" s="18"/>
      <c r="D89" s="18"/>
      <c r="E89" s="18"/>
      <c r="F89" s="18"/>
      <c r="G89" s="18"/>
      <c r="H89" s="18"/>
      <c r="I89" s="19"/>
    </row>
    <row r="90" spans="2:9" ht="18" customHeight="1" x14ac:dyDescent="0.35">
      <c r="B90" s="25" t="s">
        <v>122</v>
      </c>
      <c r="C90" s="18"/>
      <c r="D90" s="19"/>
      <c r="E90" s="23" t="s">
        <v>340</v>
      </c>
      <c r="F90" s="18"/>
      <c r="G90" s="18"/>
      <c r="H90" s="18"/>
      <c r="I90" s="19"/>
    </row>
    <row r="91" spans="2:9" ht="18" customHeight="1" x14ac:dyDescent="0.35">
      <c r="B91" s="25" t="s">
        <v>124</v>
      </c>
      <c r="C91" s="18"/>
      <c r="D91" s="19"/>
      <c r="E91" s="23" t="s">
        <v>341</v>
      </c>
      <c r="F91" s="18"/>
      <c r="G91" s="18"/>
      <c r="H91" s="18"/>
      <c r="I91" s="19"/>
    </row>
    <row r="92" spans="2:9" ht="33.65" customHeight="1" x14ac:dyDescent="0.35">
      <c r="B92" s="25" t="s">
        <v>126</v>
      </c>
      <c r="C92" s="18"/>
      <c r="D92" s="19"/>
      <c r="E92" s="23" t="s">
        <v>342</v>
      </c>
      <c r="F92" s="18"/>
      <c r="G92" s="18"/>
      <c r="H92" s="18"/>
      <c r="I92" s="19"/>
    </row>
    <row r="93" spans="2:9" ht="18" customHeight="1" x14ac:dyDescent="0.35">
      <c r="B93" s="25" t="s">
        <v>128</v>
      </c>
      <c r="C93" s="18"/>
      <c r="D93" s="19"/>
      <c r="E93" s="23" t="s">
        <v>343</v>
      </c>
      <c r="F93" s="18"/>
      <c r="G93" s="18"/>
      <c r="H93" s="18"/>
      <c r="I93" s="19"/>
    </row>
    <row r="94" spans="2:9" ht="18" customHeight="1" x14ac:dyDescent="0.35">
      <c r="B94" s="25" t="s">
        <v>130</v>
      </c>
      <c r="C94" s="18"/>
      <c r="D94" s="19"/>
      <c r="E94" s="23" t="s">
        <v>344</v>
      </c>
      <c r="F94" s="18"/>
      <c r="G94" s="18"/>
      <c r="H94" s="18"/>
      <c r="I94" s="19"/>
    </row>
    <row r="96" spans="2:9" ht="15.75" customHeight="1" x14ac:dyDescent="0.35">
      <c r="B96" s="31" t="s">
        <v>345</v>
      </c>
      <c r="C96" s="18"/>
      <c r="D96" s="18"/>
      <c r="E96" s="18"/>
      <c r="F96" s="18"/>
      <c r="G96" s="18"/>
      <c r="H96" s="18"/>
      <c r="I96" s="19"/>
    </row>
  </sheetData>
  <mergeCells count="106">
    <mergeCell ref="B20:I20"/>
    <mergeCell ref="E66:I66"/>
    <mergeCell ref="B52:D52"/>
    <mergeCell ref="E53:I53"/>
    <mergeCell ref="E93:I93"/>
    <mergeCell ref="B3:I3"/>
    <mergeCell ref="B69:D69"/>
    <mergeCell ref="B18:I18"/>
    <mergeCell ref="E64:I64"/>
    <mergeCell ref="E79:I79"/>
    <mergeCell ref="E73:I73"/>
    <mergeCell ref="E51:I51"/>
    <mergeCell ref="E87:I87"/>
    <mergeCell ref="E85:I85"/>
    <mergeCell ref="B93:D93"/>
    <mergeCell ref="B89:I89"/>
    <mergeCell ref="B86:D86"/>
    <mergeCell ref="E90:I90"/>
    <mergeCell ref="B90:D90"/>
    <mergeCell ref="E91:I91"/>
    <mergeCell ref="E58:I58"/>
    <mergeCell ref="E50:I50"/>
    <mergeCell ref="B75:I75"/>
    <mergeCell ref="E42:I42"/>
    <mergeCell ref="B2:I2"/>
    <mergeCell ref="G19:H19"/>
    <mergeCell ref="E63:I63"/>
    <mergeCell ref="B60:I60"/>
    <mergeCell ref="B55:D55"/>
    <mergeCell ref="B64:D64"/>
    <mergeCell ref="E65:I65"/>
    <mergeCell ref="B79:D79"/>
    <mergeCell ref="B34:I34"/>
    <mergeCell ref="E49:I49"/>
    <mergeCell ref="D19:F19"/>
    <mergeCell ref="B30:I30"/>
    <mergeCell ref="E76:I76"/>
    <mergeCell ref="B6:I6"/>
    <mergeCell ref="B71:D71"/>
    <mergeCell ref="B40:I40"/>
    <mergeCell ref="B66:D66"/>
    <mergeCell ref="B77:D77"/>
    <mergeCell ref="B26:I26"/>
    <mergeCell ref="E62:I62"/>
    <mergeCell ref="E71:I71"/>
    <mergeCell ref="B5:I5"/>
    <mergeCell ref="B70:D70"/>
    <mergeCell ref="B43:D43"/>
    <mergeCell ref="E44:I44"/>
    <mergeCell ref="B39:I39"/>
    <mergeCell ref="E69:I69"/>
    <mergeCell ref="B45:D45"/>
    <mergeCell ref="E46:I46"/>
    <mergeCell ref="B47:D47"/>
    <mergeCell ref="E70:I70"/>
    <mergeCell ref="E57:I57"/>
    <mergeCell ref="B46:D46"/>
    <mergeCell ref="E54:I54"/>
    <mergeCell ref="E41:I41"/>
    <mergeCell ref="E47:I47"/>
    <mergeCell ref="B48:D48"/>
    <mergeCell ref="E56:I56"/>
    <mergeCell ref="B42:D42"/>
    <mergeCell ref="B57:D57"/>
    <mergeCell ref="E55:I55"/>
    <mergeCell ref="E52:I52"/>
    <mergeCell ref="B44:D44"/>
    <mergeCell ref="B53:D53"/>
    <mergeCell ref="E48:I48"/>
    <mergeCell ref="B17:I17"/>
    <mergeCell ref="B80:D80"/>
    <mergeCell ref="B82:I82"/>
    <mergeCell ref="B94:D94"/>
    <mergeCell ref="B62:D62"/>
    <mergeCell ref="B54:D54"/>
    <mergeCell ref="B72:D72"/>
    <mergeCell ref="B68:I68"/>
    <mergeCell ref="B56:D56"/>
    <mergeCell ref="E83:I83"/>
    <mergeCell ref="E92:I92"/>
    <mergeCell ref="E94:I94"/>
    <mergeCell ref="B83:D83"/>
    <mergeCell ref="E84:I84"/>
    <mergeCell ref="E78:I78"/>
    <mergeCell ref="B76:D76"/>
    <mergeCell ref="E77:I77"/>
    <mergeCell ref="B85:D85"/>
    <mergeCell ref="E86:I86"/>
    <mergeCell ref="E80:I80"/>
    <mergeCell ref="E43:I43"/>
    <mergeCell ref="B78:D78"/>
    <mergeCell ref="B87:D87"/>
    <mergeCell ref="B49:D49"/>
    <mergeCell ref="B96:I96"/>
    <mergeCell ref="B84:D84"/>
    <mergeCell ref="B92:D92"/>
    <mergeCell ref="B65:D65"/>
    <mergeCell ref="B61:I61"/>
    <mergeCell ref="B51:D51"/>
    <mergeCell ref="B63:D63"/>
    <mergeCell ref="B50:D50"/>
    <mergeCell ref="E45:I45"/>
    <mergeCell ref="B91:D91"/>
    <mergeCell ref="B73:D73"/>
    <mergeCell ref="B59:I59"/>
    <mergeCell ref="E72:I7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I95"/>
  <sheetViews>
    <sheetView showGridLines="0" topLeftCell="A4" zoomScaleNormal="100" workbookViewId="0">
      <selection activeCell="E48" sqref="E48:I48"/>
    </sheetView>
  </sheetViews>
  <sheetFormatPr defaultColWidth="8.54296875" defaultRowHeight="14.5" x14ac:dyDescent="0.35"/>
  <cols>
    <col min="1" max="1" width="3" customWidth="1"/>
    <col min="2" max="2" width="12" customWidth="1"/>
    <col min="3" max="3" width="8.1796875" bestFit="1" customWidth="1"/>
    <col min="4" max="4" width="14" bestFit="1" customWidth="1"/>
    <col min="5" max="5" width="67.81640625" bestFit="1" customWidth="1"/>
    <col min="6" max="6" width="24" bestFit="1" customWidth="1"/>
    <col min="7" max="7" width="13.1796875" bestFit="1" customWidth="1"/>
    <col min="8" max="8" width="28.81640625" bestFit="1" customWidth="1"/>
    <col min="9" max="9" width="36.1796875" bestFit="1" customWidth="1"/>
  </cols>
  <sheetData>
    <row r="1" spans="2:9" ht="13.5" customHeight="1" x14ac:dyDescent="0.35"/>
    <row r="2" spans="2:9" ht="33.75" customHeight="1" x14ac:dyDescent="0.35">
      <c r="B2" s="33" t="s">
        <v>346</v>
      </c>
      <c r="C2" s="18"/>
      <c r="D2" s="18"/>
      <c r="E2" s="18"/>
      <c r="F2" s="18"/>
      <c r="G2" s="18"/>
      <c r="H2" s="18"/>
      <c r="I2" s="19"/>
    </row>
    <row r="3" spans="2:9" ht="15.75" customHeight="1" x14ac:dyDescent="0.35">
      <c r="B3" s="32" t="s">
        <v>1</v>
      </c>
      <c r="C3" s="21"/>
      <c r="D3" s="21"/>
      <c r="E3" s="21"/>
      <c r="F3" s="21"/>
      <c r="G3" s="21"/>
      <c r="H3" s="21"/>
      <c r="I3" s="21"/>
    </row>
    <row r="5" spans="2:9" ht="21.75" customHeight="1" x14ac:dyDescent="0.35">
      <c r="B5" s="28" t="s">
        <v>2</v>
      </c>
      <c r="C5" s="18"/>
      <c r="D5" s="18"/>
      <c r="E5" s="18"/>
      <c r="F5" s="18"/>
      <c r="G5" s="18"/>
      <c r="H5" s="18"/>
      <c r="I5" s="19"/>
    </row>
    <row r="6" spans="2:9" ht="13.5" customHeight="1" x14ac:dyDescent="0.35">
      <c r="B6" s="29" t="s">
        <v>3</v>
      </c>
      <c r="C6" s="21"/>
      <c r="D6" s="21"/>
      <c r="E6" s="21"/>
      <c r="F6" s="21"/>
      <c r="G6" s="21"/>
      <c r="H6" s="21"/>
      <c r="I6" s="21"/>
    </row>
    <row r="7" spans="2:9" ht="19.5" customHeight="1" x14ac:dyDescent="0.35">
      <c r="B7" s="5" t="s">
        <v>4</v>
      </c>
      <c r="C7" s="5" t="s">
        <v>5</v>
      </c>
      <c r="D7" s="5" t="s">
        <v>6</v>
      </c>
      <c r="E7" s="5" t="s">
        <v>7</v>
      </c>
      <c r="F7" s="5" t="s">
        <v>8</v>
      </c>
      <c r="G7" s="5" t="s">
        <v>9</v>
      </c>
      <c r="H7" s="5" t="s">
        <v>10</v>
      </c>
      <c r="I7" s="5" t="s">
        <v>11</v>
      </c>
    </row>
    <row r="8" spans="2:9" ht="18" customHeight="1" x14ac:dyDescent="0.35">
      <c r="B8" s="4" t="s">
        <v>347</v>
      </c>
      <c r="C8" s="4" t="s">
        <v>13</v>
      </c>
      <c r="D8" s="4" t="s">
        <v>14</v>
      </c>
      <c r="E8" s="4" t="s">
        <v>348</v>
      </c>
      <c r="F8" s="4" t="s">
        <v>349</v>
      </c>
      <c r="G8" s="4" t="s">
        <v>17</v>
      </c>
      <c r="H8" s="4" t="s">
        <v>350</v>
      </c>
      <c r="I8" s="4" t="s">
        <v>351</v>
      </c>
    </row>
    <row r="9" spans="2:9" ht="18" customHeight="1" x14ac:dyDescent="0.35">
      <c r="B9" s="4" t="s">
        <v>347</v>
      </c>
      <c r="C9" s="4" t="s">
        <v>37</v>
      </c>
      <c r="D9" s="4" t="s">
        <v>14</v>
      </c>
      <c r="E9" s="4" t="s">
        <v>352</v>
      </c>
      <c r="F9" s="4" t="s">
        <v>28</v>
      </c>
      <c r="G9" s="4" t="s">
        <v>23</v>
      </c>
      <c r="H9" s="4" t="s">
        <v>353</v>
      </c>
      <c r="I9" s="4" t="s">
        <v>354</v>
      </c>
    </row>
    <row r="10" spans="2:9" ht="18" customHeight="1" x14ac:dyDescent="0.35">
      <c r="B10" s="4" t="s">
        <v>347</v>
      </c>
      <c r="C10" s="4" t="s">
        <v>31</v>
      </c>
      <c r="D10" s="4" t="s">
        <v>32</v>
      </c>
      <c r="E10" s="4" t="s">
        <v>355</v>
      </c>
      <c r="F10" s="4" t="s">
        <v>356</v>
      </c>
      <c r="G10" s="4" t="s">
        <v>23</v>
      </c>
      <c r="H10" s="4" t="s">
        <v>357</v>
      </c>
      <c r="I10" s="4" t="s">
        <v>249</v>
      </c>
    </row>
    <row r="11" spans="2:9" ht="18" customHeight="1" x14ac:dyDescent="0.35">
      <c r="B11" s="4" t="s">
        <v>347</v>
      </c>
      <c r="C11" s="4" t="s">
        <v>20</v>
      </c>
      <c r="D11" s="4" t="s">
        <v>14</v>
      </c>
      <c r="E11" s="4" t="s">
        <v>358</v>
      </c>
      <c r="F11" s="4" t="s">
        <v>359</v>
      </c>
      <c r="G11" s="4" t="s">
        <v>17</v>
      </c>
      <c r="H11" s="4" t="s">
        <v>360</v>
      </c>
      <c r="I11" s="4" t="s">
        <v>244</v>
      </c>
    </row>
    <row r="12" spans="2:9" ht="18" customHeight="1" x14ac:dyDescent="0.35">
      <c r="B12" s="4" t="s">
        <v>347</v>
      </c>
      <c r="C12" s="4" t="s">
        <v>26</v>
      </c>
      <c r="D12" s="4" t="s">
        <v>14</v>
      </c>
      <c r="E12" s="4" t="s">
        <v>361</v>
      </c>
      <c r="F12" s="4" t="s">
        <v>28</v>
      </c>
      <c r="G12" s="4" t="s">
        <v>23</v>
      </c>
      <c r="H12" s="4" t="s">
        <v>362</v>
      </c>
      <c r="I12" s="4" t="s">
        <v>363</v>
      </c>
    </row>
    <row r="13" spans="2:9" ht="18" customHeight="1" x14ac:dyDescent="0.35">
      <c r="B13" s="4" t="s">
        <v>347</v>
      </c>
      <c r="C13" s="4" t="s">
        <v>13</v>
      </c>
      <c r="D13" s="4" t="s">
        <v>14</v>
      </c>
      <c r="E13" s="4" t="s">
        <v>364</v>
      </c>
      <c r="F13" s="4" t="s">
        <v>365</v>
      </c>
      <c r="G13" s="4" t="s">
        <v>17</v>
      </c>
      <c r="H13" s="4" t="s">
        <v>366</v>
      </c>
      <c r="I13" s="4" t="s">
        <v>367</v>
      </c>
    </row>
    <row r="14" spans="2:9" ht="18" customHeight="1" x14ac:dyDescent="0.35">
      <c r="B14" s="4" t="s">
        <v>347</v>
      </c>
      <c r="C14" s="4" t="s">
        <v>37</v>
      </c>
      <c r="D14" s="4" t="s">
        <v>14</v>
      </c>
      <c r="E14" s="4" t="s">
        <v>368</v>
      </c>
      <c r="F14" s="4" t="s">
        <v>369</v>
      </c>
      <c r="G14" s="4" t="s">
        <v>23</v>
      </c>
      <c r="H14" s="4" t="s">
        <v>370</v>
      </c>
      <c r="I14" s="4" t="s">
        <v>263</v>
      </c>
    </row>
    <row r="15" spans="2:9" ht="18" customHeight="1" x14ac:dyDescent="0.35">
      <c r="B15" s="4" t="s">
        <v>347</v>
      </c>
      <c r="C15" s="4" t="s">
        <v>31</v>
      </c>
      <c r="D15" s="4" t="s">
        <v>14</v>
      </c>
      <c r="E15" s="4" t="s">
        <v>371</v>
      </c>
      <c r="F15" s="4" t="s">
        <v>372</v>
      </c>
      <c r="G15" s="4" t="s">
        <v>17</v>
      </c>
      <c r="H15" s="4" t="s">
        <v>373</v>
      </c>
      <c r="I15" s="4" t="s">
        <v>374</v>
      </c>
    </row>
    <row r="17" spans="2:9" ht="21.75" customHeight="1" x14ac:dyDescent="0.35">
      <c r="B17" s="26" t="s">
        <v>55</v>
      </c>
      <c r="C17" s="18"/>
      <c r="D17" s="18"/>
      <c r="E17" s="18"/>
      <c r="F17" s="18"/>
      <c r="G17" s="18"/>
      <c r="H17" s="18"/>
      <c r="I17" s="19"/>
    </row>
    <row r="18" spans="2:9" ht="13.5" customHeight="1" x14ac:dyDescent="0.35">
      <c r="B18" s="29" t="s">
        <v>56</v>
      </c>
      <c r="C18" s="21"/>
      <c r="D18" s="21"/>
      <c r="E18" s="21"/>
      <c r="F18" s="21"/>
      <c r="G18" s="21"/>
      <c r="H18" s="21"/>
      <c r="I18" s="21"/>
    </row>
    <row r="19" spans="2:9" ht="19.5" customHeight="1" x14ac:dyDescent="0.35">
      <c r="B19" s="2" t="s">
        <v>57</v>
      </c>
      <c r="C19" s="2" t="s">
        <v>5</v>
      </c>
      <c r="D19" s="34" t="s">
        <v>58</v>
      </c>
      <c r="E19" s="18"/>
      <c r="F19" s="19"/>
      <c r="G19" s="34" t="s">
        <v>59</v>
      </c>
      <c r="H19" s="19"/>
      <c r="I19" s="2" t="s">
        <v>60</v>
      </c>
    </row>
    <row r="20" spans="2:9" ht="15.75" customHeight="1" x14ac:dyDescent="0.35">
      <c r="B20" s="30" t="s">
        <v>61</v>
      </c>
      <c r="C20" s="18"/>
      <c r="D20" s="18"/>
      <c r="E20" s="18"/>
      <c r="F20" s="18"/>
      <c r="G20" s="18"/>
      <c r="H20" s="18"/>
      <c r="I20" s="19"/>
    </row>
    <row r="21" spans="2:9" ht="18" customHeight="1" x14ac:dyDescent="0.35">
      <c r="B21" s="4"/>
      <c r="C21" s="4" t="s">
        <v>13</v>
      </c>
      <c r="D21" s="4"/>
      <c r="E21" s="4" t="s">
        <v>375</v>
      </c>
      <c r="F21" s="4"/>
      <c r="G21" s="4"/>
      <c r="H21" s="4" t="s">
        <v>376</v>
      </c>
      <c r="I21" s="4" t="s">
        <v>377</v>
      </c>
    </row>
    <row r="22" spans="2:9" ht="18" customHeight="1" x14ac:dyDescent="0.35">
      <c r="B22" s="4"/>
      <c r="C22" s="4" t="s">
        <v>20</v>
      </c>
      <c r="D22" s="4"/>
      <c r="E22" s="4" t="s">
        <v>378</v>
      </c>
      <c r="F22" s="4"/>
      <c r="G22" s="4"/>
      <c r="H22" s="4" t="s">
        <v>379</v>
      </c>
      <c r="I22" s="4" t="s">
        <v>380</v>
      </c>
    </row>
    <row r="23" spans="2:9" ht="18" customHeight="1" x14ac:dyDescent="0.35">
      <c r="B23" s="4"/>
      <c r="C23" s="4" t="s">
        <v>26</v>
      </c>
      <c r="D23" s="4"/>
      <c r="E23" s="4" t="s">
        <v>381</v>
      </c>
      <c r="F23" s="4"/>
      <c r="G23" s="4"/>
      <c r="H23" s="4" t="s">
        <v>382</v>
      </c>
      <c r="I23" s="4" t="s">
        <v>383</v>
      </c>
    </row>
    <row r="24" spans="2:9" ht="18" customHeight="1" x14ac:dyDescent="0.35">
      <c r="B24" s="4"/>
      <c r="C24" s="4" t="s">
        <v>37</v>
      </c>
      <c r="D24" s="4"/>
      <c r="E24" s="4" t="s">
        <v>384</v>
      </c>
      <c r="F24" s="4"/>
      <c r="G24" s="4"/>
      <c r="H24" s="4" t="s">
        <v>385</v>
      </c>
      <c r="I24" s="4" t="s">
        <v>386</v>
      </c>
    </row>
    <row r="25" spans="2:9" ht="15.75" customHeight="1" x14ac:dyDescent="0.35">
      <c r="B25" s="30" t="s">
        <v>70</v>
      </c>
      <c r="C25" s="18"/>
      <c r="D25" s="18"/>
      <c r="E25" s="18"/>
      <c r="F25" s="18"/>
      <c r="G25" s="18"/>
      <c r="H25" s="18"/>
      <c r="I25" s="19"/>
    </row>
    <row r="26" spans="2:9" ht="18" customHeight="1" x14ac:dyDescent="0.35">
      <c r="B26" s="4"/>
      <c r="C26" s="4" t="s">
        <v>31</v>
      </c>
      <c r="D26" s="4"/>
      <c r="E26" s="4" t="s">
        <v>380</v>
      </c>
      <c r="F26" s="4"/>
      <c r="G26" s="4"/>
      <c r="H26" s="4" t="s">
        <v>349</v>
      </c>
      <c r="I26" s="4" t="s">
        <v>387</v>
      </c>
    </row>
    <row r="27" spans="2:9" ht="18" customHeight="1" x14ac:dyDescent="0.35">
      <c r="B27" s="4"/>
      <c r="C27" s="4" t="s">
        <v>13</v>
      </c>
      <c r="D27" s="4"/>
      <c r="E27" s="4" t="s">
        <v>388</v>
      </c>
      <c r="F27" s="4"/>
      <c r="G27" s="4"/>
      <c r="H27" s="4" t="s">
        <v>382</v>
      </c>
      <c r="I27" s="4" t="s">
        <v>389</v>
      </c>
    </row>
    <row r="28" spans="2:9" ht="18" customHeight="1" x14ac:dyDescent="0.35">
      <c r="B28" s="4"/>
      <c r="C28" s="4"/>
      <c r="D28" s="4"/>
      <c r="E28" s="4"/>
      <c r="F28" s="4"/>
      <c r="G28" s="4"/>
      <c r="H28" s="4"/>
      <c r="I28" s="4"/>
    </row>
    <row r="29" spans="2:9" ht="15.75" customHeight="1" x14ac:dyDescent="0.35">
      <c r="B29" s="30" t="s">
        <v>77</v>
      </c>
      <c r="C29" s="18"/>
      <c r="D29" s="18"/>
      <c r="E29" s="18"/>
      <c r="F29" s="18"/>
      <c r="G29" s="18"/>
      <c r="H29" s="18"/>
      <c r="I29" s="19"/>
    </row>
    <row r="30" spans="2:9" ht="18" customHeight="1" x14ac:dyDescent="0.35">
      <c r="B30" s="4"/>
      <c r="C30" s="4" t="s">
        <v>26</v>
      </c>
      <c r="D30" s="4"/>
      <c r="E30" s="4" t="s">
        <v>390</v>
      </c>
      <c r="F30" s="4"/>
      <c r="G30" s="4"/>
      <c r="H30" s="4" t="s">
        <v>379</v>
      </c>
      <c r="I30" s="4" t="s">
        <v>391</v>
      </c>
    </row>
    <row r="31" spans="2:9" ht="18" customHeight="1" x14ac:dyDescent="0.35">
      <c r="B31" s="4"/>
      <c r="C31" s="4" t="s">
        <v>37</v>
      </c>
      <c r="D31" s="4"/>
      <c r="E31" s="4" t="s">
        <v>392</v>
      </c>
      <c r="F31" s="4"/>
      <c r="G31" s="4"/>
      <c r="H31" s="4" t="s">
        <v>385</v>
      </c>
      <c r="I31" s="4" t="s">
        <v>393</v>
      </c>
    </row>
    <row r="32" spans="2:9" ht="18" customHeight="1" x14ac:dyDescent="0.35">
      <c r="B32" s="4"/>
      <c r="C32" s="4" t="s">
        <v>31</v>
      </c>
      <c r="D32" s="4"/>
      <c r="E32" s="4" t="s">
        <v>394</v>
      </c>
      <c r="F32" s="4"/>
      <c r="G32" s="4"/>
      <c r="H32" s="4" t="s">
        <v>349</v>
      </c>
      <c r="I32" s="4" t="s">
        <v>395</v>
      </c>
    </row>
    <row r="33" spans="2:9" ht="15.75" customHeight="1" x14ac:dyDescent="0.35">
      <c r="B33" s="30" t="s">
        <v>85</v>
      </c>
      <c r="C33" s="18"/>
      <c r="D33" s="18"/>
      <c r="E33" s="18"/>
      <c r="F33" s="18"/>
      <c r="G33" s="18"/>
      <c r="H33" s="18"/>
      <c r="I33" s="19"/>
    </row>
    <row r="34" spans="2:9" ht="18" customHeight="1" x14ac:dyDescent="0.35">
      <c r="B34" s="4"/>
      <c r="C34" s="4" t="s">
        <v>396</v>
      </c>
      <c r="D34" s="4"/>
      <c r="E34" s="4" t="s">
        <v>397</v>
      </c>
      <c r="F34" s="4"/>
      <c r="G34" s="4"/>
      <c r="H34" s="4" t="s">
        <v>398</v>
      </c>
      <c r="I34" s="4" t="s">
        <v>399</v>
      </c>
    </row>
    <row r="35" spans="2:9" ht="18" customHeight="1" x14ac:dyDescent="0.35">
      <c r="B35" s="4"/>
      <c r="C35" s="4"/>
      <c r="D35" s="4"/>
      <c r="E35" s="4"/>
      <c r="F35" s="4"/>
      <c r="G35" s="4"/>
      <c r="H35" s="4"/>
      <c r="I35" s="4"/>
    </row>
    <row r="36" spans="2:9" ht="18" customHeight="1" x14ac:dyDescent="0.35">
      <c r="B36" s="4"/>
      <c r="C36" s="4"/>
      <c r="D36" s="4"/>
      <c r="E36" s="4"/>
      <c r="F36" s="4"/>
      <c r="G36" s="4"/>
      <c r="H36" s="4"/>
      <c r="I36" s="4"/>
    </row>
    <row r="38" spans="2:9" ht="21.75" customHeight="1" x14ac:dyDescent="0.35">
      <c r="B38" s="36" t="s">
        <v>90</v>
      </c>
      <c r="C38" s="18"/>
      <c r="D38" s="18"/>
      <c r="E38" s="18"/>
      <c r="F38" s="18"/>
      <c r="G38" s="18"/>
      <c r="H38" s="18"/>
      <c r="I38" s="19"/>
    </row>
    <row r="39" spans="2:9" ht="13.5" customHeight="1" x14ac:dyDescent="0.35">
      <c r="B39" s="29" t="s">
        <v>91</v>
      </c>
      <c r="C39" s="21"/>
      <c r="D39" s="21"/>
      <c r="E39" s="21"/>
      <c r="F39" s="21"/>
      <c r="G39" s="21"/>
      <c r="H39" s="21"/>
      <c r="I39" s="21"/>
    </row>
    <row r="40" spans="2:9" ht="19.5" customHeight="1" x14ac:dyDescent="0.35">
      <c r="B40" s="1" t="s">
        <v>92</v>
      </c>
      <c r="C40" s="1" t="s">
        <v>93</v>
      </c>
      <c r="D40" s="1" t="s">
        <v>94</v>
      </c>
      <c r="E40" s="24" t="s">
        <v>95</v>
      </c>
      <c r="F40" s="18"/>
      <c r="G40" s="18"/>
      <c r="H40" s="18"/>
      <c r="I40" s="19"/>
    </row>
    <row r="41" spans="2:9" ht="21.75" customHeight="1" x14ac:dyDescent="0.35">
      <c r="B41" s="22" t="s">
        <v>96</v>
      </c>
      <c r="C41" s="18"/>
      <c r="D41" s="19"/>
      <c r="E41" s="17" t="s">
        <v>400</v>
      </c>
      <c r="F41" s="18"/>
      <c r="G41" s="18"/>
      <c r="H41" s="18"/>
      <c r="I41" s="19"/>
    </row>
    <row r="42" spans="2:9" ht="21.75" customHeight="1" x14ac:dyDescent="0.35">
      <c r="B42" s="23" t="s">
        <v>98</v>
      </c>
      <c r="C42" s="18"/>
      <c r="D42" s="19"/>
      <c r="E42" s="17" t="s">
        <v>401</v>
      </c>
      <c r="F42" s="18"/>
      <c r="G42" s="18"/>
      <c r="H42" s="18"/>
      <c r="I42" s="19"/>
    </row>
    <row r="43" spans="2:9" ht="21.75" customHeight="1" x14ac:dyDescent="0.35">
      <c r="B43" s="23" t="s">
        <v>100</v>
      </c>
      <c r="C43" s="18"/>
      <c r="D43" s="19"/>
      <c r="E43" s="17" t="s">
        <v>402</v>
      </c>
      <c r="F43" s="18"/>
      <c r="G43" s="18"/>
      <c r="H43" s="18"/>
      <c r="I43" s="19"/>
    </row>
    <row r="44" spans="2:9" ht="21.75" customHeight="1" x14ac:dyDescent="0.35">
      <c r="B44" s="23" t="s">
        <v>102</v>
      </c>
      <c r="C44" s="18"/>
      <c r="D44" s="19"/>
      <c r="E44" s="17" t="s">
        <v>403</v>
      </c>
      <c r="F44" s="18"/>
      <c r="G44" s="18"/>
      <c r="H44" s="18"/>
      <c r="I44" s="19"/>
    </row>
    <row r="45" spans="2:9" ht="21.75" customHeight="1" x14ac:dyDescent="0.35">
      <c r="B45" s="22" t="s">
        <v>104</v>
      </c>
      <c r="C45" s="18"/>
      <c r="D45" s="19"/>
      <c r="E45" s="17" t="s">
        <v>404</v>
      </c>
      <c r="F45" s="18"/>
      <c r="G45" s="18"/>
      <c r="H45" s="18"/>
      <c r="I45" s="19"/>
    </row>
    <row r="46" spans="2:9" ht="21.75" customHeight="1" x14ac:dyDescent="0.35">
      <c r="B46" s="23" t="s">
        <v>98</v>
      </c>
      <c r="C46" s="18"/>
      <c r="D46" s="19"/>
      <c r="E46" s="17" t="s">
        <v>405</v>
      </c>
      <c r="F46" s="18"/>
      <c r="G46" s="18"/>
      <c r="H46" s="18"/>
      <c r="I46" s="19"/>
    </row>
    <row r="47" spans="2:9" ht="21.75" customHeight="1" x14ac:dyDescent="0.35">
      <c r="B47" s="23" t="s">
        <v>100</v>
      </c>
      <c r="C47" s="18"/>
      <c r="D47" s="19"/>
      <c r="E47" s="17" t="s">
        <v>406</v>
      </c>
      <c r="F47" s="18"/>
      <c r="G47" s="18"/>
      <c r="H47" s="18"/>
      <c r="I47" s="19"/>
    </row>
    <row r="48" spans="2:9" ht="21.75" customHeight="1" x14ac:dyDescent="0.35">
      <c r="B48" s="23" t="s">
        <v>102</v>
      </c>
      <c r="C48" s="18"/>
      <c r="D48" s="19"/>
      <c r="E48" s="17" t="s">
        <v>407</v>
      </c>
      <c r="F48" s="18"/>
      <c r="G48" s="18"/>
      <c r="H48" s="18"/>
      <c r="I48" s="19"/>
    </row>
    <row r="49" spans="2:9" ht="21.75" customHeight="1" x14ac:dyDescent="0.35">
      <c r="B49" s="22" t="s">
        <v>109</v>
      </c>
      <c r="C49" s="18"/>
      <c r="D49" s="19"/>
      <c r="E49" s="17" t="s">
        <v>408</v>
      </c>
      <c r="F49" s="18"/>
      <c r="G49" s="18"/>
      <c r="H49" s="18"/>
      <c r="I49" s="19"/>
    </row>
    <row r="50" spans="2:9" ht="21.75" customHeight="1" x14ac:dyDescent="0.35">
      <c r="B50" s="23" t="s">
        <v>98</v>
      </c>
      <c r="C50" s="18"/>
      <c r="D50" s="19"/>
      <c r="E50" s="17" t="s">
        <v>409</v>
      </c>
      <c r="F50" s="18"/>
      <c r="G50" s="18"/>
      <c r="H50" s="18"/>
      <c r="I50" s="19"/>
    </row>
    <row r="51" spans="2:9" ht="21.75" customHeight="1" x14ac:dyDescent="0.35">
      <c r="B51" s="23" t="s">
        <v>100</v>
      </c>
      <c r="C51" s="18"/>
      <c r="D51" s="19"/>
      <c r="E51" s="17" t="s">
        <v>410</v>
      </c>
      <c r="F51" s="18"/>
      <c r="G51" s="18"/>
      <c r="H51" s="18"/>
      <c r="I51" s="19"/>
    </row>
    <row r="52" spans="2:9" ht="21.75" customHeight="1" x14ac:dyDescent="0.35">
      <c r="B52" s="23" t="s">
        <v>102</v>
      </c>
      <c r="C52" s="18"/>
      <c r="D52" s="19"/>
      <c r="E52" s="17" t="s">
        <v>411</v>
      </c>
      <c r="F52" s="18"/>
      <c r="G52" s="18"/>
      <c r="H52" s="18"/>
      <c r="I52" s="19"/>
    </row>
    <row r="53" spans="2:9" ht="21.75" customHeight="1" x14ac:dyDescent="0.35">
      <c r="B53" s="22" t="s">
        <v>114</v>
      </c>
      <c r="C53" s="18"/>
      <c r="D53" s="19"/>
      <c r="E53" s="17" t="s">
        <v>412</v>
      </c>
      <c r="F53" s="18"/>
      <c r="G53" s="18"/>
      <c r="H53" s="18"/>
      <c r="I53" s="19"/>
    </row>
    <row r="54" spans="2:9" ht="21.75" customHeight="1" x14ac:dyDescent="0.35">
      <c r="B54" s="23" t="s">
        <v>98</v>
      </c>
      <c r="C54" s="18"/>
      <c r="D54" s="19"/>
      <c r="E54" s="17" t="s">
        <v>413</v>
      </c>
      <c r="F54" s="18"/>
      <c r="G54" s="18"/>
      <c r="H54" s="18"/>
      <c r="I54" s="19"/>
    </row>
    <row r="55" spans="2:9" ht="21.75" customHeight="1" x14ac:dyDescent="0.35">
      <c r="B55" s="23" t="s">
        <v>100</v>
      </c>
      <c r="C55" s="18"/>
      <c r="D55" s="19"/>
      <c r="E55" s="17" t="s">
        <v>414</v>
      </c>
      <c r="F55" s="18"/>
      <c r="G55" s="18"/>
      <c r="H55" s="18"/>
      <c r="I55" s="19"/>
    </row>
    <row r="56" spans="2:9" ht="21.75" customHeight="1" x14ac:dyDescent="0.35">
      <c r="B56" s="23" t="s">
        <v>102</v>
      </c>
      <c r="C56" s="18"/>
      <c r="D56" s="19"/>
      <c r="E56" s="17" t="s">
        <v>415</v>
      </c>
      <c r="F56" s="18"/>
      <c r="G56" s="18"/>
      <c r="H56" s="18"/>
      <c r="I56" s="19"/>
    </row>
    <row r="57" spans="2:9" x14ac:dyDescent="0.35">
      <c r="E57" s="17"/>
      <c r="F57" s="18"/>
      <c r="G57" s="18"/>
      <c r="H57" s="18"/>
      <c r="I57" s="19"/>
    </row>
    <row r="58" spans="2:9" ht="21.75" customHeight="1" x14ac:dyDescent="0.35">
      <c r="B58" s="35" t="s">
        <v>119</v>
      </c>
      <c r="C58" s="18"/>
      <c r="D58" s="18"/>
      <c r="E58" s="18"/>
      <c r="F58" s="18"/>
      <c r="G58" s="18"/>
      <c r="H58" s="18"/>
      <c r="I58" s="19"/>
    </row>
    <row r="59" spans="2:9" ht="13.5" customHeight="1" x14ac:dyDescent="0.35">
      <c r="B59" s="29" t="s">
        <v>120</v>
      </c>
      <c r="C59" s="21"/>
      <c r="D59" s="21"/>
      <c r="E59" s="21"/>
      <c r="F59" s="21"/>
      <c r="G59" s="21"/>
      <c r="H59" s="21"/>
      <c r="I59" s="21"/>
    </row>
    <row r="60" spans="2:9" ht="18" customHeight="1" x14ac:dyDescent="0.35">
      <c r="B60" s="27" t="s">
        <v>121</v>
      </c>
      <c r="C60" s="18"/>
      <c r="D60" s="18"/>
      <c r="E60" s="18"/>
      <c r="F60" s="18"/>
      <c r="G60" s="18"/>
      <c r="H60" s="18"/>
      <c r="I60" s="19"/>
    </row>
    <row r="61" spans="2:9" ht="18" customHeight="1" x14ac:dyDescent="0.35">
      <c r="B61" s="25" t="s">
        <v>122</v>
      </c>
      <c r="C61" s="18"/>
      <c r="D61" s="19"/>
      <c r="E61" s="20" t="s">
        <v>416</v>
      </c>
      <c r="F61" s="21"/>
      <c r="G61" s="21"/>
      <c r="H61" s="21"/>
      <c r="I61" s="21"/>
    </row>
    <row r="62" spans="2:9" ht="18" customHeight="1" x14ac:dyDescent="0.35">
      <c r="B62" s="25" t="s">
        <v>124</v>
      </c>
      <c r="C62" s="18"/>
      <c r="D62" s="19"/>
      <c r="E62" s="20" t="s">
        <v>417</v>
      </c>
      <c r="F62" s="21"/>
      <c r="G62" s="21"/>
      <c r="H62" s="21"/>
      <c r="I62" s="21"/>
    </row>
    <row r="63" spans="2:9" ht="34" customHeight="1" x14ac:dyDescent="0.35">
      <c r="B63" s="25" t="s">
        <v>126</v>
      </c>
      <c r="C63" s="18"/>
      <c r="D63" s="19"/>
      <c r="E63" s="20" t="s">
        <v>418</v>
      </c>
      <c r="F63" s="21"/>
      <c r="G63" s="21"/>
      <c r="H63" s="21"/>
      <c r="I63" s="21"/>
    </row>
    <row r="64" spans="2:9" ht="18" customHeight="1" x14ac:dyDescent="0.35">
      <c r="B64" s="25" t="s">
        <v>128</v>
      </c>
      <c r="C64" s="18"/>
      <c r="D64" s="19"/>
      <c r="E64" s="20" t="s">
        <v>419</v>
      </c>
      <c r="F64" s="21"/>
      <c r="G64" s="21"/>
      <c r="H64" s="21"/>
      <c r="I64" s="21"/>
    </row>
    <row r="65" spans="2:9" ht="18" customHeight="1" x14ac:dyDescent="0.35">
      <c r="B65" s="25" t="s">
        <v>130</v>
      </c>
      <c r="C65" s="18"/>
      <c r="D65" s="19"/>
      <c r="E65" s="20" t="s">
        <v>420</v>
      </c>
      <c r="F65" s="21"/>
      <c r="G65" s="21"/>
      <c r="H65" s="21"/>
      <c r="I65" s="21"/>
    </row>
    <row r="67" spans="2:9" ht="18" customHeight="1" x14ac:dyDescent="0.35">
      <c r="B67" s="27" t="s">
        <v>132</v>
      </c>
      <c r="C67" s="18"/>
      <c r="D67" s="18"/>
      <c r="E67" s="18"/>
      <c r="F67" s="18"/>
      <c r="G67" s="18"/>
      <c r="H67" s="18"/>
      <c r="I67" s="19"/>
    </row>
    <row r="68" spans="2:9" ht="18" customHeight="1" x14ac:dyDescent="0.35">
      <c r="B68" s="25" t="s">
        <v>122</v>
      </c>
      <c r="C68" s="18"/>
      <c r="D68" s="19"/>
      <c r="E68" s="20" t="s">
        <v>421</v>
      </c>
      <c r="F68" s="21"/>
      <c r="G68" s="21"/>
      <c r="H68" s="21"/>
      <c r="I68" s="21"/>
    </row>
    <row r="69" spans="2:9" ht="18" customHeight="1" x14ac:dyDescent="0.35">
      <c r="B69" s="25" t="s">
        <v>124</v>
      </c>
      <c r="C69" s="18"/>
      <c r="D69" s="19"/>
      <c r="E69" s="20" t="s">
        <v>422</v>
      </c>
      <c r="F69" s="21"/>
      <c r="G69" s="21"/>
      <c r="H69" s="21"/>
      <c r="I69" s="21"/>
    </row>
    <row r="70" spans="2:9" ht="26.5" customHeight="1" x14ac:dyDescent="0.35">
      <c r="B70" s="25" t="s">
        <v>126</v>
      </c>
      <c r="C70" s="18"/>
      <c r="D70" s="19"/>
      <c r="E70" s="20" t="s">
        <v>423</v>
      </c>
      <c r="F70" s="21"/>
      <c r="G70" s="21"/>
      <c r="H70" s="21"/>
      <c r="I70" s="21"/>
    </row>
    <row r="71" spans="2:9" ht="18" customHeight="1" x14ac:dyDescent="0.35">
      <c r="B71" s="25" t="s">
        <v>128</v>
      </c>
      <c r="C71" s="18"/>
      <c r="D71" s="19"/>
      <c r="E71" s="20" t="s">
        <v>424</v>
      </c>
      <c r="F71" s="21"/>
      <c r="G71" s="21"/>
      <c r="H71" s="21"/>
      <c r="I71" s="21"/>
    </row>
    <row r="72" spans="2:9" ht="18" customHeight="1" x14ac:dyDescent="0.35">
      <c r="B72" s="25" t="s">
        <v>130</v>
      </c>
      <c r="C72" s="18"/>
      <c r="D72" s="19"/>
      <c r="E72" s="20" t="s">
        <v>425</v>
      </c>
      <c r="F72" s="21"/>
      <c r="G72" s="21"/>
      <c r="H72" s="21"/>
      <c r="I72" s="21"/>
    </row>
    <row r="74" spans="2:9" ht="18" customHeight="1" x14ac:dyDescent="0.35">
      <c r="B74" s="27" t="s">
        <v>138</v>
      </c>
      <c r="C74" s="18"/>
      <c r="D74" s="18"/>
      <c r="E74" s="18"/>
      <c r="F74" s="18"/>
      <c r="G74" s="18"/>
      <c r="H74" s="18"/>
      <c r="I74" s="19"/>
    </row>
    <row r="75" spans="2:9" ht="18" customHeight="1" x14ac:dyDescent="0.35">
      <c r="B75" s="25" t="s">
        <v>122</v>
      </c>
      <c r="C75" s="18"/>
      <c r="D75" s="19"/>
      <c r="E75" s="23" t="s">
        <v>426</v>
      </c>
      <c r="F75" s="18"/>
      <c r="G75" s="18"/>
      <c r="H75" s="18"/>
      <c r="I75" s="19"/>
    </row>
    <row r="76" spans="2:9" ht="18" customHeight="1" x14ac:dyDescent="0.35">
      <c r="B76" s="25" t="s">
        <v>124</v>
      </c>
      <c r="C76" s="18"/>
      <c r="D76" s="19"/>
      <c r="E76" s="23" t="s">
        <v>427</v>
      </c>
      <c r="F76" s="18"/>
      <c r="G76" s="18"/>
      <c r="H76" s="18"/>
      <c r="I76" s="19"/>
    </row>
    <row r="77" spans="2:9" ht="24" customHeight="1" x14ac:dyDescent="0.35">
      <c r="B77" s="25" t="s">
        <v>126</v>
      </c>
      <c r="C77" s="18"/>
      <c r="D77" s="19"/>
      <c r="E77" s="23" t="s">
        <v>428</v>
      </c>
      <c r="F77" s="18"/>
      <c r="G77" s="18"/>
      <c r="H77" s="18"/>
      <c r="I77" s="19"/>
    </row>
    <row r="78" spans="2:9" ht="18" customHeight="1" x14ac:dyDescent="0.35">
      <c r="B78" s="25" t="s">
        <v>128</v>
      </c>
      <c r="C78" s="18"/>
      <c r="D78" s="19"/>
      <c r="E78" s="23" t="s">
        <v>429</v>
      </c>
      <c r="F78" s="18"/>
      <c r="G78" s="18"/>
      <c r="H78" s="18"/>
      <c r="I78" s="19"/>
    </row>
    <row r="79" spans="2:9" ht="18" customHeight="1" x14ac:dyDescent="0.35">
      <c r="B79" s="25" t="s">
        <v>130</v>
      </c>
      <c r="C79" s="18"/>
      <c r="D79" s="19"/>
      <c r="E79" s="23" t="s">
        <v>430</v>
      </c>
      <c r="F79" s="18"/>
      <c r="G79" s="18"/>
      <c r="H79" s="18"/>
      <c r="I79" s="19"/>
    </row>
    <row r="81" spans="2:9" ht="18" customHeight="1" x14ac:dyDescent="0.35">
      <c r="B81" s="27" t="s">
        <v>144</v>
      </c>
      <c r="C81" s="18"/>
      <c r="D81" s="18"/>
      <c r="E81" s="18"/>
      <c r="F81" s="18"/>
      <c r="G81" s="18"/>
      <c r="H81" s="18"/>
      <c r="I81" s="19"/>
    </row>
    <row r="82" spans="2:9" ht="18" customHeight="1" x14ac:dyDescent="0.35">
      <c r="B82" s="25" t="s">
        <v>122</v>
      </c>
      <c r="C82" s="18"/>
      <c r="D82" s="19"/>
      <c r="E82" s="23" t="s">
        <v>431</v>
      </c>
      <c r="F82" s="18"/>
      <c r="G82" s="18"/>
      <c r="H82" s="18"/>
      <c r="I82" s="19"/>
    </row>
    <row r="83" spans="2:9" ht="18" customHeight="1" x14ac:dyDescent="0.35">
      <c r="B83" s="25" t="s">
        <v>124</v>
      </c>
      <c r="C83" s="18"/>
      <c r="D83" s="19"/>
      <c r="E83" s="23" t="s">
        <v>432</v>
      </c>
      <c r="F83" s="18"/>
      <c r="G83" s="18"/>
      <c r="H83" s="18"/>
      <c r="I83" s="19"/>
    </row>
    <row r="84" spans="2:9" ht="29.15" customHeight="1" x14ac:dyDescent="0.35">
      <c r="B84" s="25" t="s">
        <v>126</v>
      </c>
      <c r="C84" s="18"/>
      <c r="D84" s="19"/>
      <c r="E84" s="23" t="s">
        <v>433</v>
      </c>
      <c r="F84" s="18"/>
      <c r="G84" s="18"/>
      <c r="H84" s="18"/>
      <c r="I84" s="19"/>
    </row>
    <row r="85" spans="2:9" ht="18" customHeight="1" x14ac:dyDescent="0.35">
      <c r="B85" s="25" t="s">
        <v>128</v>
      </c>
      <c r="C85" s="18"/>
      <c r="D85" s="19"/>
      <c r="E85" s="23" t="s">
        <v>434</v>
      </c>
      <c r="F85" s="18"/>
      <c r="G85" s="18"/>
      <c r="H85" s="18"/>
      <c r="I85" s="19"/>
    </row>
    <row r="86" spans="2:9" ht="18" customHeight="1" x14ac:dyDescent="0.35">
      <c r="B86" s="25" t="s">
        <v>130</v>
      </c>
      <c r="C86" s="18"/>
      <c r="D86" s="19"/>
      <c r="E86" s="23" t="s">
        <v>435</v>
      </c>
      <c r="F86" s="18"/>
      <c r="G86" s="18"/>
      <c r="H86" s="18"/>
      <c r="I86" s="19"/>
    </row>
    <row r="88" spans="2:9" ht="18" customHeight="1" x14ac:dyDescent="0.35">
      <c r="B88" s="27" t="s">
        <v>150</v>
      </c>
      <c r="C88" s="18"/>
      <c r="D88" s="18"/>
      <c r="E88" s="18"/>
      <c r="F88" s="18"/>
      <c r="G88" s="18"/>
      <c r="H88" s="18"/>
      <c r="I88" s="19"/>
    </row>
    <row r="89" spans="2:9" ht="18" customHeight="1" x14ac:dyDescent="0.35">
      <c r="B89" s="25" t="s">
        <v>122</v>
      </c>
      <c r="C89" s="18"/>
      <c r="D89" s="19"/>
      <c r="E89" s="23" t="s">
        <v>436</v>
      </c>
      <c r="F89" s="18"/>
      <c r="G89" s="18"/>
      <c r="H89" s="18"/>
      <c r="I89" s="19"/>
    </row>
    <row r="90" spans="2:9" ht="18" customHeight="1" x14ac:dyDescent="0.35">
      <c r="B90" s="25" t="s">
        <v>124</v>
      </c>
      <c r="C90" s="18"/>
      <c r="D90" s="19"/>
      <c r="E90" s="23" t="s">
        <v>437</v>
      </c>
      <c r="F90" s="18"/>
      <c r="G90" s="18"/>
      <c r="H90" s="18"/>
      <c r="I90" s="19"/>
    </row>
    <row r="91" spans="2:9" ht="36" customHeight="1" x14ac:dyDescent="0.35">
      <c r="B91" s="25" t="s">
        <v>126</v>
      </c>
      <c r="C91" s="18"/>
      <c r="D91" s="19"/>
      <c r="E91" s="23" t="s">
        <v>438</v>
      </c>
      <c r="F91" s="18"/>
      <c r="G91" s="18"/>
      <c r="H91" s="18"/>
      <c r="I91" s="19"/>
    </row>
    <row r="92" spans="2:9" ht="18" customHeight="1" x14ac:dyDescent="0.35">
      <c r="B92" s="25" t="s">
        <v>128</v>
      </c>
      <c r="C92" s="18"/>
      <c r="D92" s="19"/>
      <c r="E92" s="23" t="s">
        <v>439</v>
      </c>
      <c r="F92" s="18"/>
      <c r="G92" s="18"/>
      <c r="H92" s="18"/>
      <c r="I92" s="19"/>
    </row>
    <row r="93" spans="2:9" ht="18" customHeight="1" x14ac:dyDescent="0.35">
      <c r="B93" s="25" t="s">
        <v>130</v>
      </c>
      <c r="C93" s="18"/>
      <c r="D93" s="19"/>
      <c r="E93" s="23" t="s">
        <v>440</v>
      </c>
      <c r="F93" s="18"/>
      <c r="G93" s="18"/>
      <c r="H93" s="18"/>
      <c r="I93" s="19"/>
    </row>
    <row r="95" spans="2:9" ht="15.75" customHeight="1" x14ac:dyDescent="0.35">
      <c r="B95" s="31" t="s">
        <v>441</v>
      </c>
      <c r="C95" s="18"/>
      <c r="D95" s="18"/>
      <c r="E95" s="18"/>
      <c r="F95" s="18"/>
      <c r="G95" s="18"/>
      <c r="H95" s="18"/>
      <c r="I95" s="19"/>
    </row>
  </sheetData>
  <mergeCells count="106">
    <mergeCell ref="B3:I3"/>
    <mergeCell ref="B69:D69"/>
    <mergeCell ref="B18:I18"/>
    <mergeCell ref="B58:I58"/>
    <mergeCell ref="E64:I64"/>
    <mergeCell ref="E79:I79"/>
    <mergeCell ref="E51:I51"/>
    <mergeCell ref="B2:I2"/>
    <mergeCell ref="G19:H19"/>
    <mergeCell ref="E63:I63"/>
    <mergeCell ref="B60:I60"/>
    <mergeCell ref="B55:D55"/>
    <mergeCell ref="B64:D64"/>
    <mergeCell ref="E65:I65"/>
    <mergeCell ref="B79:D79"/>
    <mergeCell ref="E49:I49"/>
    <mergeCell ref="D19:F19"/>
    <mergeCell ref="E76:I76"/>
    <mergeCell ref="B6:I6"/>
    <mergeCell ref="B71:D71"/>
    <mergeCell ref="B20:I20"/>
    <mergeCell ref="B52:D52"/>
    <mergeCell ref="E75:I75"/>
    <mergeCell ref="E53:I53"/>
    <mergeCell ref="B29:I29"/>
    <mergeCell ref="B63:D63"/>
    <mergeCell ref="B41:D41"/>
    <mergeCell ref="B38:I38"/>
    <mergeCell ref="B50:D50"/>
    <mergeCell ref="E45:I45"/>
    <mergeCell ref="B91:D91"/>
    <mergeCell ref="B93:D93"/>
    <mergeCell ref="B95:I95"/>
    <mergeCell ref="B77:D77"/>
    <mergeCell ref="B86:D86"/>
    <mergeCell ref="B61:D61"/>
    <mergeCell ref="E62:I62"/>
    <mergeCell ref="B81:I81"/>
    <mergeCell ref="E71:I71"/>
    <mergeCell ref="B89:D89"/>
    <mergeCell ref="E90:I90"/>
    <mergeCell ref="B90:D90"/>
    <mergeCell ref="E91:I91"/>
    <mergeCell ref="E85:I85"/>
    <mergeCell ref="E93:I93"/>
    <mergeCell ref="E40:I40"/>
    <mergeCell ref="E68:I68"/>
    <mergeCell ref="E55:I55"/>
    <mergeCell ref="B5:I5"/>
    <mergeCell ref="B70:D70"/>
    <mergeCell ref="B43:D43"/>
    <mergeCell ref="E50:I50"/>
    <mergeCell ref="E42:I42"/>
    <mergeCell ref="B59:I59"/>
    <mergeCell ref="B82:D82"/>
    <mergeCell ref="E83:I83"/>
    <mergeCell ref="E92:I92"/>
    <mergeCell ref="E44:I44"/>
    <mergeCell ref="B39:I39"/>
    <mergeCell ref="B68:D68"/>
    <mergeCell ref="B83:D83"/>
    <mergeCell ref="E69:I69"/>
    <mergeCell ref="E84:I84"/>
    <mergeCell ref="E78:I78"/>
    <mergeCell ref="B76:D76"/>
    <mergeCell ref="B45:D45"/>
    <mergeCell ref="E77:I77"/>
    <mergeCell ref="B85:D85"/>
    <mergeCell ref="E46:I46"/>
    <mergeCell ref="E86:I86"/>
    <mergeCell ref="B75:D75"/>
    <mergeCell ref="E61:I61"/>
    <mergeCell ref="B17:I17"/>
    <mergeCell ref="B88:I88"/>
    <mergeCell ref="E89:I89"/>
    <mergeCell ref="B62:D62"/>
    <mergeCell ref="B54:D54"/>
    <mergeCell ref="B72:D72"/>
    <mergeCell ref="B74:I74"/>
    <mergeCell ref="B56:D56"/>
    <mergeCell ref="B47:D47"/>
    <mergeCell ref="E70:I70"/>
    <mergeCell ref="E57:I57"/>
    <mergeCell ref="B33:I33"/>
    <mergeCell ref="B46:D46"/>
    <mergeCell ref="E54:I54"/>
    <mergeCell ref="E72:I72"/>
    <mergeCell ref="E41:I41"/>
    <mergeCell ref="E47:I47"/>
    <mergeCell ref="B48:D48"/>
    <mergeCell ref="E56:I56"/>
    <mergeCell ref="E43:I43"/>
    <mergeCell ref="B25:I25"/>
    <mergeCell ref="B78:D78"/>
    <mergeCell ref="E82:I82"/>
    <mergeCell ref="B42:D42"/>
    <mergeCell ref="E52:I52"/>
    <mergeCell ref="B44:D44"/>
    <mergeCell ref="B53:D53"/>
    <mergeCell ref="E48:I48"/>
    <mergeCell ref="B84:D84"/>
    <mergeCell ref="B92:D92"/>
    <mergeCell ref="B49:D49"/>
    <mergeCell ref="B65:D65"/>
    <mergeCell ref="B67:I67"/>
    <mergeCell ref="B51:D5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I94"/>
  <sheetViews>
    <sheetView showGridLines="0" zoomScaleNormal="100" workbookViewId="0">
      <selection activeCell="B3" sqref="B3:I3"/>
    </sheetView>
  </sheetViews>
  <sheetFormatPr defaultColWidth="8.54296875" defaultRowHeight="14.5" x14ac:dyDescent="0.35"/>
  <cols>
    <col min="1" max="1" width="3" customWidth="1"/>
    <col min="2" max="2" width="12" customWidth="1"/>
    <col min="3" max="3" width="6" customWidth="1"/>
    <col min="4" max="4" width="14.1796875" customWidth="1"/>
    <col min="5" max="5" width="54.7265625" customWidth="1"/>
    <col min="6" max="6" width="24.7265625" customWidth="1"/>
    <col min="7" max="7" width="13.54296875" customWidth="1"/>
    <col min="8" max="8" width="29.7265625" customWidth="1"/>
    <col min="9" max="9" width="30.453125" customWidth="1"/>
  </cols>
  <sheetData>
    <row r="1" spans="2:9" ht="13.5" customHeight="1" x14ac:dyDescent="0.35"/>
    <row r="2" spans="2:9" ht="21" customHeight="1" x14ac:dyDescent="0.35">
      <c r="B2" s="62" t="s">
        <v>0</v>
      </c>
      <c r="C2" s="18"/>
      <c r="D2" s="18"/>
      <c r="E2" s="18"/>
      <c r="F2" s="18"/>
      <c r="G2" s="18"/>
      <c r="H2" s="18"/>
      <c r="I2" s="19"/>
    </row>
    <row r="3" spans="2:9" ht="21" customHeight="1" x14ac:dyDescent="0.35">
      <c r="B3" s="59" t="s">
        <v>1</v>
      </c>
      <c r="C3" s="21"/>
      <c r="D3" s="21"/>
      <c r="E3" s="21"/>
      <c r="F3" s="21"/>
      <c r="G3" s="21"/>
      <c r="H3" s="21"/>
      <c r="I3" s="21"/>
    </row>
    <row r="5" spans="2:9" ht="21" customHeight="1" x14ac:dyDescent="0.35">
      <c r="B5" s="67" t="s">
        <v>2</v>
      </c>
      <c r="C5" s="18"/>
      <c r="D5" s="18"/>
      <c r="E5" s="18"/>
      <c r="F5" s="18"/>
      <c r="G5" s="18"/>
      <c r="H5" s="18"/>
      <c r="I5" s="19"/>
    </row>
    <row r="6" spans="2:9" ht="21" customHeight="1" x14ac:dyDescent="0.35">
      <c r="B6" s="59" t="s">
        <v>3</v>
      </c>
      <c r="C6" s="21"/>
      <c r="D6" s="21"/>
      <c r="E6" s="21"/>
      <c r="F6" s="21"/>
      <c r="G6" s="21"/>
      <c r="H6" s="21"/>
      <c r="I6" s="21"/>
    </row>
    <row r="7" spans="2:9" ht="36" customHeight="1" x14ac:dyDescent="0.35">
      <c r="B7" s="11" t="s">
        <v>4</v>
      </c>
      <c r="C7" s="11" t="s">
        <v>5</v>
      </c>
      <c r="D7" s="11" t="s">
        <v>6</v>
      </c>
      <c r="E7" s="11" t="s">
        <v>7</v>
      </c>
      <c r="F7" s="11" t="s">
        <v>8</v>
      </c>
      <c r="G7" s="11" t="s">
        <v>9</v>
      </c>
      <c r="H7" s="11" t="s">
        <v>10</v>
      </c>
      <c r="I7" s="11" t="s">
        <v>11</v>
      </c>
    </row>
    <row r="8" spans="2:9" ht="36" customHeight="1" x14ac:dyDescent="0.35">
      <c r="B8" s="14" t="s">
        <v>12</v>
      </c>
      <c r="C8" s="14" t="s">
        <v>13</v>
      </c>
      <c r="D8" s="14" t="s">
        <v>14</v>
      </c>
      <c r="E8" s="14" t="s">
        <v>15</v>
      </c>
      <c r="F8" s="14" t="s">
        <v>16</v>
      </c>
      <c r="G8" s="14" t="s">
        <v>17</v>
      </c>
      <c r="H8" s="14" t="s">
        <v>18</v>
      </c>
      <c r="I8" s="14" t="s">
        <v>19</v>
      </c>
    </row>
    <row r="9" spans="2:9" ht="51" customHeight="1" x14ac:dyDescent="0.35">
      <c r="B9" s="14" t="s">
        <v>12</v>
      </c>
      <c r="C9" s="14" t="s">
        <v>20</v>
      </c>
      <c r="D9" s="14" t="s">
        <v>14</v>
      </c>
      <c r="E9" s="14" t="s">
        <v>21</v>
      </c>
      <c r="F9" s="14" t="s">
        <v>22</v>
      </c>
      <c r="G9" s="14" t="s">
        <v>23</v>
      </c>
      <c r="H9" s="14" t="s">
        <v>24</v>
      </c>
      <c r="I9" s="14" t="s">
        <v>25</v>
      </c>
    </row>
    <row r="10" spans="2:9" ht="36" customHeight="1" x14ac:dyDescent="0.35">
      <c r="B10" s="14" t="s">
        <v>12</v>
      </c>
      <c r="C10" s="14" t="s">
        <v>26</v>
      </c>
      <c r="D10" s="14" t="s">
        <v>14</v>
      </c>
      <c r="E10" s="14" t="s">
        <v>27</v>
      </c>
      <c r="F10" s="14" t="s">
        <v>28</v>
      </c>
      <c r="G10" s="14" t="s">
        <v>23</v>
      </c>
      <c r="H10" s="14" t="s">
        <v>29</v>
      </c>
      <c r="I10" s="14" t="s">
        <v>30</v>
      </c>
    </row>
    <row r="11" spans="2:9" ht="51" customHeight="1" x14ac:dyDescent="0.35">
      <c r="B11" s="14" t="s">
        <v>12</v>
      </c>
      <c r="C11" s="14" t="s">
        <v>31</v>
      </c>
      <c r="D11" s="14" t="s">
        <v>32</v>
      </c>
      <c r="E11" s="14" t="s">
        <v>33</v>
      </c>
      <c r="F11" s="14" t="s">
        <v>34</v>
      </c>
      <c r="G11" s="14" t="s">
        <v>23</v>
      </c>
      <c r="H11" s="14" t="s">
        <v>35</v>
      </c>
      <c r="I11" s="14" t="s">
        <v>36</v>
      </c>
    </row>
    <row r="12" spans="2:9" ht="36" customHeight="1" x14ac:dyDescent="0.35">
      <c r="B12" s="14" t="s">
        <v>12</v>
      </c>
      <c r="C12" s="14" t="s">
        <v>37</v>
      </c>
      <c r="D12" s="14" t="s">
        <v>14</v>
      </c>
      <c r="E12" s="14" t="s">
        <v>38</v>
      </c>
      <c r="F12" s="14" t="s">
        <v>39</v>
      </c>
      <c r="G12" s="14" t="s">
        <v>17</v>
      </c>
      <c r="H12" s="14" t="s">
        <v>40</v>
      </c>
      <c r="I12" s="14" t="s">
        <v>41</v>
      </c>
    </row>
    <row r="13" spans="2:9" ht="51" customHeight="1" x14ac:dyDescent="0.35">
      <c r="B13" s="14" t="s">
        <v>12</v>
      </c>
      <c r="C13" s="14" t="s">
        <v>13</v>
      </c>
      <c r="D13" s="14" t="s">
        <v>14</v>
      </c>
      <c r="E13" s="14" t="s">
        <v>42</v>
      </c>
      <c r="F13" s="14" t="s">
        <v>43</v>
      </c>
      <c r="G13" s="14" t="s">
        <v>17</v>
      </c>
      <c r="H13" s="14" t="s">
        <v>44</v>
      </c>
      <c r="I13" s="14" t="s">
        <v>45</v>
      </c>
    </row>
    <row r="14" spans="2:9" ht="51" customHeight="1" x14ac:dyDescent="0.35">
      <c r="B14" s="14" t="s">
        <v>12</v>
      </c>
      <c r="C14" s="14" t="s">
        <v>20</v>
      </c>
      <c r="D14" s="14" t="s">
        <v>14</v>
      </c>
      <c r="E14" s="14" t="s">
        <v>46</v>
      </c>
      <c r="F14" s="14" t="s">
        <v>47</v>
      </c>
      <c r="G14" s="14" t="s">
        <v>17</v>
      </c>
      <c r="H14" s="14" t="s">
        <v>48</v>
      </c>
      <c r="I14" s="14" t="s">
        <v>49</v>
      </c>
    </row>
    <row r="15" spans="2:9" ht="51" customHeight="1" x14ac:dyDescent="0.35">
      <c r="B15" s="14" t="s">
        <v>12</v>
      </c>
      <c r="C15" s="14" t="s">
        <v>37</v>
      </c>
      <c r="D15" s="14" t="s">
        <v>14</v>
      </c>
      <c r="E15" s="14" t="s">
        <v>50</v>
      </c>
      <c r="F15" s="14" t="s">
        <v>51</v>
      </c>
      <c r="G15" s="14" t="s">
        <v>52</v>
      </c>
      <c r="H15" s="14" t="s">
        <v>53</v>
      </c>
      <c r="I15" s="14" t="s">
        <v>54</v>
      </c>
    </row>
    <row r="17" spans="2:9" ht="21" customHeight="1" x14ac:dyDescent="0.35">
      <c r="B17" s="54" t="s">
        <v>55</v>
      </c>
      <c r="C17" s="18"/>
      <c r="D17" s="18"/>
      <c r="E17" s="18"/>
      <c r="F17" s="18"/>
      <c r="G17" s="18"/>
      <c r="H17" s="18"/>
      <c r="I17" s="19"/>
    </row>
    <row r="18" spans="2:9" ht="21" customHeight="1" x14ac:dyDescent="0.35">
      <c r="B18" s="59" t="s">
        <v>56</v>
      </c>
      <c r="C18" s="21"/>
      <c r="D18" s="21"/>
      <c r="E18" s="21"/>
      <c r="F18" s="21"/>
      <c r="G18" s="21"/>
      <c r="H18" s="21"/>
      <c r="I18" s="21"/>
    </row>
    <row r="19" spans="2:9" ht="21" customHeight="1" x14ac:dyDescent="0.35">
      <c r="B19" s="12" t="s">
        <v>57</v>
      </c>
      <c r="C19" s="12" t="s">
        <v>5</v>
      </c>
      <c r="D19" s="63" t="s">
        <v>58</v>
      </c>
      <c r="E19" s="18"/>
      <c r="F19" s="19"/>
      <c r="G19" s="63" t="s">
        <v>59</v>
      </c>
      <c r="H19" s="19"/>
      <c r="I19" s="12" t="s">
        <v>60</v>
      </c>
    </row>
    <row r="20" spans="2:9" ht="21" customHeight="1" x14ac:dyDescent="0.35">
      <c r="B20" s="58" t="s">
        <v>61</v>
      </c>
      <c r="C20" s="18"/>
      <c r="D20" s="18"/>
      <c r="E20" s="18"/>
      <c r="F20" s="18"/>
      <c r="G20" s="18"/>
      <c r="H20" s="18"/>
      <c r="I20" s="19"/>
    </row>
    <row r="21" spans="2:9" ht="36" customHeight="1" x14ac:dyDescent="0.35">
      <c r="B21" s="14" t="s">
        <v>62</v>
      </c>
      <c r="C21" s="14" t="s">
        <v>13</v>
      </c>
      <c r="D21" s="53" t="s">
        <v>63</v>
      </c>
      <c r="E21" s="18"/>
      <c r="F21" s="19"/>
      <c r="G21" s="14" t="s">
        <v>64</v>
      </c>
      <c r="H21" s="14"/>
      <c r="I21" s="14" t="s">
        <v>65</v>
      </c>
    </row>
    <row r="22" spans="2:9" ht="36" customHeight="1" x14ac:dyDescent="0.35">
      <c r="B22" s="14" t="s">
        <v>62</v>
      </c>
      <c r="C22" s="14" t="s">
        <v>20</v>
      </c>
      <c r="D22" s="53" t="s">
        <v>66</v>
      </c>
      <c r="E22" s="18"/>
      <c r="F22" s="19"/>
      <c r="G22" s="14" t="s">
        <v>16</v>
      </c>
      <c r="H22" s="14"/>
      <c r="I22" s="14" t="s">
        <v>67</v>
      </c>
    </row>
    <row r="23" spans="2:9" ht="36" customHeight="1" x14ac:dyDescent="0.35">
      <c r="B23" s="14" t="s">
        <v>62</v>
      </c>
      <c r="C23" s="14" t="s">
        <v>26</v>
      </c>
      <c r="D23" s="53" t="s">
        <v>68</v>
      </c>
      <c r="E23" s="18"/>
      <c r="F23" s="19"/>
      <c r="G23" s="14" t="s">
        <v>28</v>
      </c>
      <c r="H23" s="14"/>
      <c r="I23" s="14" t="s">
        <v>69</v>
      </c>
    </row>
    <row r="24" spans="2:9" ht="21" customHeight="1" x14ac:dyDescent="0.35">
      <c r="B24" s="58" t="s">
        <v>70</v>
      </c>
      <c r="C24" s="18"/>
      <c r="D24" s="18"/>
      <c r="E24" s="18"/>
      <c r="F24" s="18"/>
      <c r="G24" s="18"/>
      <c r="H24" s="18"/>
      <c r="I24" s="19"/>
    </row>
    <row r="25" spans="2:9" ht="36" customHeight="1" x14ac:dyDescent="0.35">
      <c r="B25" s="14" t="s">
        <v>71</v>
      </c>
      <c r="C25" s="14" t="s">
        <v>37</v>
      </c>
      <c r="D25" s="53" t="s">
        <v>72</v>
      </c>
      <c r="E25" s="18"/>
      <c r="F25" s="19"/>
      <c r="G25" s="14" t="s">
        <v>39</v>
      </c>
      <c r="H25" s="14"/>
      <c r="I25" s="14" t="s">
        <v>73</v>
      </c>
    </row>
    <row r="26" spans="2:9" ht="36" customHeight="1" x14ac:dyDescent="0.35">
      <c r="B26" s="14" t="s">
        <v>71</v>
      </c>
      <c r="C26" s="14" t="s">
        <v>31</v>
      </c>
      <c r="D26" s="53" t="s">
        <v>74</v>
      </c>
      <c r="E26" s="18"/>
      <c r="F26" s="19"/>
      <c r="G26" s="14" t="s">
        <v>75</v>
      </c>
      <c r="H26" s="14"/>
      <c r="I26" s="14" t="s">
        <v>76</v>
      </c>
    </row>
    <row r="27" spans="2:9" ht="18" customHeight="1" x14ac:dyDescent="0.35">
      <c r="B27" s="4"/>
      <c r="C27" s="4"/>
      <c r="D27" s="4"/>
      <c r="E27" s="4"/>
      <c r="F27" s="4"/>
      <c r="G27" s="4"/>
      <c r="H27" s="4"/>
      <c r="I27" s="4"/>
    </row>
    <row r="28" spans="2:9" ht="21" customHeight="1" x14ac:dyDescent="0.35">
      <c r="B28" s="58" t="s">
        <v>77</v>
      </c>
      <c r="C28" s="18"/>
      <c r="D28" s="18"/>
      <c r="E28" s="18"/>
      <c r="F28" s="18"/>
      <c r="G28" s="18"/>
      <c r="H28" s="18"/>
      <c r="I28" s="19"/>
    </row>
    <row r="29" spans="2:9" ht="36" customHeight="1" x14ac:dyDescent="0.35">
      <c r="B29" s="14" t="s">
        <v>78</v>
      </c>
      <c r="C29" s="14" t="s">
        <v>13</v>
      </c>
      <c r="D29" s="53" t="s">
        <v>79</v>
      </c>
      <c r="E29" s="18"/>
      <c r="F29" s="19"/>
      <c r="G29" s="14" t="s">
        <v>80</v>
      </c>
      <c r="H29" s="14"/>
      <c r="I29" s="14" t="s">
        <v>81</v>
      </c>
    </row>
    <row r="30" spans="2:9" ht="36" customHeight="1" x14ac:dyDescent="0.35">
      <c r="B30" s="14" t="s">
        <v>78</v>
      </c>
      <c r="C30" s="14" t="s">
        <v>20</v>
      </c>
      <c r="D30" s="53" t="s">
        <v>82</v>
      </c>
      <c r="E30" s="18"/>
      <c r="F30" s="19"/>
      <c r="G30" s="14" t="s">
        <v>83</v>
      </c>
      <c r="H30" s="14"/>
      <c r="I30" s="14" t="s">
        <v>84</v>
      </c>
    </row>
    <row r="31" spans="2:9" ht="18" customHeight="1" x14ac:dyDescent="0.35">
      <c r="B31" s="4"/>
      <c r="C31" s="4"/>
      <c r="D31" s="4"/>
      <c r="E31" s="4"/>
      <c r="F31" s="4"/>
      <c r="G31" s="4"/>
      <c r="H31" s="4"/>
      <c r="I31" s="4"/>
    </row>
    <row r="32" spans="2:9" ht="21" customHeight="1" x14ac:dyDescent="0.35">
      <c r="B32" s="58" t="s">
        <v>85</v>
      </c>
      <c r="C32" s="18"/>
      <c r="D32" s="18"/>
      <c r="E32" s="18"/>
      <c r="F32" s="18"/>
      <c r="G32" s="18"/>
      <c r="H32" s="18"/>
      <c r="I32" s="19"/>
    </row>
    <row r="33" spans="2:9" ht="51" customHeight="1" x14ac:dyDescent="0.35">
      <c r="B33" s="14" t="s">
        <v>86</v>
      </c>
      <c r="C33" s="14" t="s">
        <v>37</v>
      </c>
      <c r="D33" s="53" t="s">
        <v>87</v>
      </c>
      <c r="E33" s="18"/>
      <c r="F33" s="19"/>
      <c r="G33" s="14" t="s">
        <v>88</v>
      </c>
      <c r="H33" s="14"/>
      <c r="I33" s="14" t="s">
        <v>89</v>
      </c>
    </row>
    <row r="34" spans="2:9" ht="18" customHeight="1" x14ac:dyDescent="0.35">
      <c r="B34" s="4"/>
      <c r="C34" s="4"/>
      <c r="D34" s="4"/>
      <c r="E34" s="4"/>
      <c r="F34" s="4"/>
      <c r="G34" s="4"/>
      <c r="H34" s="4"/>
      <c r="I34" s="4"/>
    </row>
    <row r="35" spans="2:9" ht="18" customHeight="1" x14ac:dyDescent="0.35">
      <c r="B35" s="4"/>
      <c r="C35" s="4"/>
      <c r="D35" s="4"/>
      <c r="E35" s="4"/>
      <c r="F35" s="4"/>
      <c r="G35" s="4"/>
      <c r="H35" s="4"/>
      <c r="I35" s="4"/>
    </row>
    <row r="37" spans="2:9" ht="21" customHeight="1" x14ac:dyDescent="0.35">
      <c r="B37" s="66" t="s">
        <v>90</v>
      </c>
      <c r="C37" s="18"/>
      <c r="D37" s="18"/>
      <c r="E37" s="18"/>
      <c r="F37" s="18"/>
      <c r="G37" s="18"/>
      <c r="H37" s="18"/>
      <c r="I37" s="19"/>
    </row>
    <row r="38" spans="2:9" ht="21" customHeight="1" x14ac:dyDescent="0.35">
      <c r="B38" s="59" t="s">
        <v>91</v>
      </c>
      <c r="C38" s="21"/>
      <c r="D38" s="21"/>
      <c r="E38" s="21"/>
      <c r="F38" s="21"/>
      <c r="G38" s="21"/>
      <c r="H38" s="21"/>
      <c r="I38" s="21"/>
    </row>
    <row r="39" spans="2:9" ht="21" customHeight="1" x14ac:dyDescent="0.35">
      <c r="B39" s="13" t="s">
        <v>92</v>
      </c>
      <c r="C39" s="13" t="s">
        <v>93</v>
      </c>
      <c r="D39" s="13" t="s">
        <v>94</v>
      </c>
      <c r="E39" s="60" t="s">
        <v>95</v>
      </c>
      <c r="F39" s="18"/>
      <c r="G39" s="18"/>
      <c r="H39" s="18"/>
      <c r="I39" s="19"/>
    </row>
    <row r="40" spans="2:9" ht="21" customHeight="1" x14ac:dyDescent="0.35">
      <c r="B40" s="64" t="s">
        <v>96</v>
      </c>
      <c r="C40" s="18"/>
      <c r="D40" s="19"/>
      <c r="E40" s="53" t="s">
        <v>97</v>
      </c>
      <c r="F40" s="18"/>
      <c r="G40" s="18"/>
      <c r="H40" s="18"/>
      <c r="I40" s="19"/>
    </row>
    <row r="41" spans="2:9" ht="36" customHeight="1" x14ac:dyDescent="0.35">
      <c r="B41" s="56" t="s">
        <v>98</v>
      </c>
      <c r="C41" s="18"/>
      <c r="D41" s="19"/>
      <c r="E41" s="53" t="s">
        <v>99</v>
      </c>
      <c r="F41" s="18"/>
      <c r="G41" s="18"/>
      <c r="H41" s="18"/>
      <c r="I41" s="19"/>
    </row>
    <row r="42" spans="2:9" ht="36" customHeight="1" x14ac:dyDescent="0.35">
      <c r="B42" s="56" t="s">
        <v>100</v>
      </c>
      <c r="C42" s="18"/>
      <c r="D42" s="19"/>
      <c r="E42" s="53" t="s">
        <v>101</v>
      </c>
      <c r="F42" s="18"/>
      <c r="G42" s="18"/>
      <c r="H42" s="18"/>
      <c r="I42" s="19"/>
    </row>
    <row r="43" spans="2:9" ht="36" customHeight="1" x14ac:dyDescent="0.35">
      <c r="B43" s="56" t="s">
        <v>102</v>
      </c>
      <c r="C43" s="18"/>
      <c r="D43" s="19"/>
      <c r="E43" s="53" t="s">
        <v>103</v>
      </c>
      <c r="F43" s="18"/>
      <c r="G43" s="18"/>
      <c r="H43" s="18"/>
      <c r="I43" s="19"/>
    </row>
    <row r="44" spans="2:9" ht="21" customHeight="1" x14ac:dyDescent="0.35">
      <c r="B44" s="64" t="s">
        <v>104</v>
      </c>
      <c r="C44" s="18"/>
      <c r="D44" s="19"/>
      <c r="E44" s="53" t="s">
        <v>105</v>
      </c>
      <c r="F44" s="18"/>
      <c r="G44" s="18"/>
      <c r="H44" s="18"/>
      <c r="I44" s="19"/>
    </row>
    <row r="45" spans="2:9" ht="36" customHeight="1" x14ac:dyDescent="0.35">
      <c r="B45" s="56" t="s">
        <v>98</v>
      </c>
      <c r="C45" s="18"/>
      <c r="D45" s="19"/>
      <c r="E45" s="53" t="s">
        <v>106</v>
      </c>
      <c r="F45" s="18"/>
      <c r="G45" s="18"/>
      <c r="H45" s="18"/>
      <c r="I45" s="19"/>
    </row>
    <row r="46" spans="2:9" ht="36" customHeight="1" x14ac:dyDescent="0.35">
      <c r="B46" s="56" t="s">
        <v>100</v>
      </c>
      <c r="C46" s="18"/>
      <c r="D46" s="19"/>
      <c r="E46" s="53" t="s">
        <v>107</v>
      </c>
      <c r="F46" s="18"/>
      <c r="G46" s="18"/>
      <c r="H46" s="18"/>
      <c r="I46" s="19"/>
    </row>
    <row r="47" spans="2:9" ht="36" customHeight="1" x14ac:dyDescent="0.35">
      <c r="B47" s="56" t="s">
        <v>102</v>
      </c>
      <c r="C47" s="18"/>
      <c r="D47" s="19"/>
      <c r="E47" s="53" t="s">
        <v>108</v>
      </c>
      <c r="F47" s="18"/>
      <c r="G47" s="18"/>
      <c r="H47" s="18"/>
      <c r="I47" s="19"/>
    </row>
    <row r="48" spans="2:9" ht="21" customHeight="1" x14ac:dyDescent="0.35">
      <c r="B48" s="64" t="s">
        <v>109</v>
      </c>
      <c r="C48" s="18"/>
      <c r="D48" s="19"/>
      <c r="E48" s="53" t="s">
        <v>110</v>
      </c>
      <c r="F48" s="18"/>
      <c r="G48" s="18"/>
      <c r="H48" s="18"/>
      <c r="I48" s="19"/>
    </row>
    <row r="49" spans="2:9" ht="36" customHeight="1" x14ac:dyDescent="0.35">
      <c r="B49" s="56" t="s">
        <v>98</v>
      </c>
      <c r="C49" s="18"/>
      <c r="D49" s="19"/>
      <c r="E49" s="53" t="s">
        <v>111</v>
      </c>
      <c r="F49" s="18"/>
      <c r="G49" s="18"/>
      <c r="H49" s="18"/>
      <c r="I49" s="19"/>
    </row>
    <row r="50" spans="2:9" ht="36" customHeight="1" x14ac:dyDescent="0.35">
      <c r="B50" s="56" t="s">
        <v>100</v>
      </c>
      <c r="C50" s="18"/>
      <c r="D50" s="19"/>
      <c r="E50" s="53" t="s">
        <v>112</v>
      </c>
      <c r="F50" s="18"/>
      <c r="G50" s="18"/>
      <c r="H50" s="18"/>
      <c r="I50" s="19"/>
    </row>
    <row r="51" spans="2:9" ht="36" customHeight="1" x14ac:dyDescent="0.35">
      <c r="B51" s="56" t="s">
        <v>102</v>
      </c>
      <c r="C51" s="18"/>
      <c r="D51" s="19"/>
      <c r="E51" s="53" t="s">
        <v>113</v>
      </c>
      <c r="F51" s="18"/>
      <c r="G51" s="18"/>
      <c r="H51" s="18"/>
      <c r="I51" s="19"/>
    </row>
    <row r="52" spans="2:9" ht="36" customHeight="1" x14ac:dyDescent="0.35">
      <c r="B52" s="64" t="s">
        <v>114</v>
      </c>
      <c r="C52" s="18"/>
      <c r="D52" s="19"/>
      <c r="E52" s="53" t="s">
        <v>115</v>
      </c>
      <c r="F52" s="18"/>
      <c r="G52" s="18"/>
      <c r="H52" s="18"/>
      <c r="I52" s="19"/>
    </row>
    <row r="53" spans="2:9" ht="36" customHeight="1" x14ac:dyDescent="0.35">
      <c r="B53" s="56" t="s">
        <v>98</v>
      </c>
      <c r="C53" s="18"/>
      <c r="D53" s="19"/>
      <c r="E53" s="53" t="s">
        <v>116</v>
      </c>
      <c r="F53" s="18"/>
      <c r="G53" s="18"/>
      <c r="H53" s="18"/>
      <c r="I53" s="19"/>
    </row>
    <row r="54" spans="2:9" ht="36" customHeight="1" x14ac:dyDescent="0.35">
      <c r="B54" s="56" t="s">
        <v>100</v>
      </c>
      <c r="C54" s="18"/>
      <c r="D54" s="19"/>
      <c r="E54" s="53" t="s">
        <v>117</v>
      </c>
      <c r="F54" s="18"/>
      <c r="G54" s="18"/>
      <c r="H54" s="18"/>
      <c r="I54" s="19"/>
    </row>
    <row r="55" spans="2:9" ht="36" customHeight="1" x14ac:dyDescent="0.35">
      <c r="B55" s="56" t="s">
        <v>102</v>
      </c>
      <c r="C55" s="18"/>
      <c r="D55" s="19"/>
      <c r="E55" s="53" t="s">
        <v>118</v>
      </c>
      <c r="F55" s="18"/>
      <c r="G55" s="18"/>
      <c r="H55" s="18"/>
      <c r="I55" s="19"/>
    </row>
    <row r="56" spans="2:9" x14ac:dyDescent="0.35">
      <c r="E56" s="17"/>
      <c r="F56" s="18"/>
      <c r="G56" s="18"/>
      <c r="H56" s="18"/>
      <c r="I56" s="19"/>
    </row>
    <row r="57" spans="2:9" ht="21" customHeight="1" x14ac:dyDescent="0.35">
      <c r="B57" s="65" t="s">
        <v>119</v>
      </c>
      <c r="C57" s="18"/>
      <c r="D57" s="18"/>
      <c r="E57" s="18"/>
      <c r="F57" s="18"/>
      <c r="G57" s="18"/>
      <c r="H57" s="18"/>
      <c r="I57" s="19"/>
    </row>
    <row r="58" spans="2:9" ht="21" customHeight="1" x14ac:dyDescent="0.35">
      <c r="B58" s="59" t="s">
        <v>120</v>
      </c>
      <c r="C58" s="21"/>
      <c r="D58" s="21"/>
      <c r="E58" s="21"/>
      <c r="F58" s="21"/>
      <c r="G58" s="21"/>
      <c r="H58" s="21"/>
      <c r="I58" s="21"/>
    </row>
    <row r="59" spans="2:9" ht="21" customHeight="1" x14ac:dyDescent="0.35">
      <c r="B59" s="55" t="s">
        <v>121</v>
      </c>
      <c r="C59" s="18"/>
      <c r="D59" s="18"/>
      <c r="E59" s="18"/>
      <c r="F59" s="18"/>
      <c r="G59" s="18"/>
      <c r="H59" s="18"/>
      <c r="I59" s="19"/>
    </row>
    <row r="60" spans="2:9" ht="36" customHeight="1" x14ac:dyDescent="0.35">
      <c r="B60" s="52" t="s">
        <v>122</v>
      </c>
      <c r="C60" s="18"/>
      <c r="D60" s="19"/>
      <c r="E60" s="57" t="s">
        <v>123</v>
      </c>
      <c r="F60" s="21"/>
      <c r="G60" s="21"/>
      <c r="H60" s="21"/>
      <c r="I60" s="21"/>
    </row>
    <row r="61" spans="2:9" ht="21" customHeight="1" x14ac:dyDescent="0.35">
      <c r="B61" s="52" t="s">
        <v>124</v>
      </c>
      <c r="C61" s="18"/>
      <c r="D61" s="19"/>
      <c r="E61" s="57" t="s">
        <v>125</v>
      </c>
      <c r="F61" s="21"/>
      <c r="G61" s="21"/>
      <c r="H61" s="21"/>
      <c r="I61" s="21"/>
    </row>
    <row r="62" spans="2:9" ht="36" customHeight="1" x14ac:dyDescent="0.35">
      <c r="B62" s="52" t="s">
        <v>126</v>
      </c>
      <c r="C62" s="18"/>
      <c r="D62" s="19"/>
      <c r="E62" s="57" t="s">
        <v>127</v>
      </c>
      <c r="F62" s="21"/>
      <c r="G62" s="21"/>
      <c r="H62" s="21"/>
      <c r="I62" s="21"/>
    </row>
    <row r="63" spans="2:9" ht="21" customHeight="1" x14ac:dyDescent="0.35">
      <c r="B63" s="52" t="s">
        <v>128</v>
      </c>
      <c r="C63" s="18"/>
      <c r="D63" s="19"/>
      <c r="E63" s="57" t="s">
        <v>129</v>
      </c>
      <c r="F63" s="21"/>
      <c r="G63" s="21"/>
      <c r="H63" s="21"/>
      <c r="I63" s="21"/>
    </row>
    <row r="64" spans="2:9" ht="36" customHeight="1" x14ac:dyDescent="0.35">
      <c r="B64" s="52" t="s">
        <v>130</v>
      </c>
      <c r="C64" s="18"/>
      <c r="D64" s="19"/>
      <c r="E64" s="57" t="s">
        <v>131</v>
      </c>
      <c r="F64" s="21"/>
      <c r="G64" s="21"/>
      <c r="H64" s="21"/>
      <c r="I64" s="21"/>
    </row>
    <row r="65" spans="2:9" ht="13.5" customHeight="1" x14ac:dyDescent="0.35">
      <c r="B65" s="15"/>
      <c r="C65" s="15"/>
      <c r="D65" s="15"/>
      <c r="E65" s="15"/>
      <c r="F65" s="15"/>
      <c r="G65" s="15"/>
      <c r="H65" s="15"/>
      <c r="I65" s="15"/>
    </row>
    <row r="66" spans="2:9" ht="21" customHeight="1" x14ac:dyDescent="0.35">
      <c r="B66" s="55" t="s">
        <v>132</v>
      </c>
      <c r="C66" s="18"/>
      <c r="D66" s="18"/>
      <c r="E66" s="18"/>
      <c r="F66" s="18"/>
      <c r="G66" s="18"/>
      <c r="H66" s="18"/>
      <c r="I66" s="19"/>
    </row>
    <row r="67" spans="2:9" ht="21" customHeight="1" x14ac:dyDescent="0.35">
      <c r="B67" s="52" t="s">
        <v>122</v>
      </c>
      <c r="C67" s="18"/>
      <c r="D67" s="19"/>
      <c r="E67" s="57" t="s">
        <v>133</v>
      </c>
      <c r="F67" s="21"/>
      <c r="G67" s="21"/>
      <c r="H67" s="21"/>
      <c r="I67" s="21"/>
    </row>
    <row r="68" spans="2:9" ht="21" customHeight="1" x14ac:dyDescent="0.35">
      <c r="B68" s="52" t="s">
        <v>124</v>
      </c>
      <c r="C68" s="18"/>
      <c r="D68" s="19"/>
      <c r="E68" s="57" t="s">
        <v>134</v>
      </c>
      <c r="F68" s="21"/>
      <c r="G68" s="21"/>
      <c r="H68" s="21"/>
      <c r="I68" s="21"/>
    </row>
    <row r="69" spans="2:9" ht="36" customHeight="1" x14ac:dyDescent="0.35">
      <c r="B69" s="52" t="s">
        <v>126</v>
      </c>
      <c r="C69" s="18"/>
      <c r="D69" s="19"/>
      <c r="E69" s="57" t="s">
        <v>135</v>
      </c>
      <c r="F69" s="21"/>
      <c r="G69" s="21"/>
      <c r="H69" s="21"/>
      <c r="I69" s="21"/>
    </row>
    <row r="70" spans="2:9" ht="21" customHeight="1" x14ac:dyDescent="0.35">
      <c r="B70" s="52" t="s">
        <v>128</v>
      </c>
      <c r="C70" s="18"/>
      <c r="D70" s="19"/>
      <c r="E70" s="57" t="s">
        <v>136</v>
      </c>
      <c r="F70" s="21"/>
      <c r="G70" s="21"/>
      <c r="H70" s="21"/>
      <c r="I70" s="21"/>
    </row>
    <row r="71" spans="2:9" ht="36" customHeight="1" x14ac:dyDescent="0.35">
      <c r="B71" s="52" t="s">
        <v>130</v>
      </c>
      <c r="C71" s="18"/>
      <c r="D71" s="19"/>
      <c r="E71" s="57" t="s">
        <v>137</v>
      </c>
      <c r="F71" s="21"/>
      <c r="G71" s="21"/>
      <c r="H71" s="21"/>
      <c r="I71" s="21"/>
    </row>
    <row r="72" spans="2:9" ht="13.5" customHeight="1" x14ac:dyDescent="0.35">
      <c r="B72" s="15"/>
      <c r="C72" s="15"/>
      <c r="D72" s="15"/>
      <c r="E72" s="15"/>
      <c r="F72" s="15"/>
      <c r="G72" s="15"/>
      <c r="H72" s="15"/>
      <c r="I72" s="15"/>
    </row>
    <row r="73" spans="2:9" ht="21" customHeight="1" x14ac:dyDescent="0.35">
      <c r="B73" s="55" t="s">
        <v>138</v>
      </c>
      <c r="C73" s="18"/>
      <c r="D73" s="18"/>
      <c r="E73" s="18"/>
      <c r="F73" s="18"/>
      <c r="G73" s="18"/>
      <c r="H73" s="18"/>
      <c r="I73" s="19"/>
    </row>
    <row r="74" spans="2:9" ht="21" customHeight="1" x14ac:dyDescent="0.35">
      <c r="B74" s="52" t="s">
        <v>122</v>
      </c>
      <c r="C74" s="18"/>
      <c r="D74" s="19"/>
      <c r="E74" s="56" t="s">
        <v>139</v>
      </c>
      <c r="F74" s="18"/>
      <c r="G74" s="18"/>
      <c r="H74" s="18"/>
      <c r="I74" s="19"/>
    </row>
    <row r="75" spans="2:9" ht="21" customHeight="1" x14ac:dyDescent="0.35">
      <c r="B75" s="52" t="s">
        <v>124</v>
      </c>
      <c r="C75" s="18"/>
      <c r="D75" s="19"/>
      <c r="E75" s="56" t="s">
        <v>140</v>
      </c>
      <c r="F75" s="18"/>
      <c r="G75" s="18"/>
      <c r="H75" s="18"/>
      <c r="I75" s="19"/>
    </row>
    <row r="76" spans="2:9" ht="36" customHeight="1" x14ac:dyDescent="0.35">
      <c r="B76" s="52" t="s">
        <v>126</v>
      </c>
      <c r="C76" s="18"/>
      <c r="D76" s="19"/>
      <c r="E76" s="56" t="s">
        <v>141</v>
      </c>
      <c r="F76" s="18"/>
      <c r="G76" s="18"/>
      <c r="H76" s="18"/>
      <c r="I76" s="19"/>
    </row>
    <row r="77" spans="2:9" ht="21" customHeight="1" x14ac:dyDescent="0.35">
      <c r="B77" s="52" t="s">
        <v>128</v>
      </c>
      <c r="C77" s="18"/>
      <c r="D77" s="19"/>
      <c r="E77" s="56" t="s">
        <v>142</v>
      </c>
      <c r="F77" s="18"/>
      <c r="G77" s="18"/>
      <c r="H77" s="18"/>
      <c r="I77" s="19"/>
    </row>
    <row r="78" spans="2:9" ht="36" customHeight="1" x14ac:dyDescent="0.35">
      <c r="B78" s="52" t="s">
        <v>130</v>
      </c>
      <c r="C78" s="18"/>
      <c r="D78" s="19"/>
      <c r="E78" s="56" t="s">
        <v>143</v>
      </c>
      <c r="F78" s="18"/>
      <c r="G78" s="18"/>
      <c r="H78" s="18"/>
      <c r="I78" s="19"/>
    </row>
    <row r="79" spans="2:9" ht="13.5" customHeight="1" x14ac:dyDescent="0.35">
      <c r="B79" s="15"/>
      <c r="C79" s="15"/>
      <c r="D79" s="15"/>
      <c r="E79" s="15"/>
      <c r="F79" s="15"/>
      <c r="G79" s="15"/>
      <c r="H79" s="15"/>
      <c r="I79" s="15"/>
    </row>
    <row r="80" spans="2:9" ht="21" customHeight="1" x14ac:dyDescent="0.35">
      <c r="B80" s="55" t="s">
        <v>144</v>
      </c>
      <c r="C80" s="18"/>
      <c r="D80" s="18"/>
      <c r="E80" s="18"/>
      <c r="F80" s="18"/>
      <c r="G80" s="18"/>
      <c r="H80" s="18"/>
      <c r="I80" s="19"/>
    </row>
    <row r="81" spans="2:9" ht="21" customHeight="1" x14ac:dyDescent="0.35">
      <c r="B81" s="52" t="s">
        <v>122</v>
      </c>
      <c r="C81" s="18"/>
      <c r="D81" s="19"/>
      <c r="E81" s="56" t="s">
        <v>145</v>
      </c>
      <c r="F81" s="18"/>
      <c r="G81" s="18"/>
      <c r="H81" s="18"/>
      <c r="I81" s="19"/>
    </row>
    <row r="82" spans="2:9" ht="21" customHeight="1" x14ac:dyDescent="0.35">
      <c r="B82" s="52" t="s">
        <v>124</v>
      </c>
      <c r="C82" s="18"/>
      <c r="D82" s="19"/>
      <c r="E82" s="56" t="s">
        <v>146</v>
      </c>
      <c r="F82" s="18"/>
      <c r="G82" s="18"/>
      <c r="H82" s="18"/>
      <c r="I82" s="19"/>
    </row>
    <row r="83" spans="2:9" ht="36" customHeight="1" x14ac:dyDescent="0.35">
      <c r="B83" s="52" t="s">
        <v>126</v>
      </c>
      <c r="C83" s="18"/>
      <c r="D83" s="19"/>
      <c r="E83" s="56" t="s">
        <v>147</v>
      </c>
      <c r="F83" s="18"/>
      <c r="G83" s="18"/>
      <c r="H83" s="18"/>
      <c r="I83" s="19"/>
    </row>
    <row r="84" spans="2:9" ht="21" customHeight="1" x14ac:dyDescent="0.35">
      <c r="B84" s="52" t="s">
        <v>128</v>
      </c>
      <c r="C84" s="18"/>
      <c r="D84" s="19"/>
      <c r="E84" s="56" t="s">
        <v>148</v>
      </c>
      <c r="F84" s="18"/>
      <c r="G84" s="18"/>
      <c r="H84" s="18"/>
      <c r="I84" s="19"/>
    </row>
    <row r="85" spans="2:9" ht="36" customHeight="1" x14ac:dyDescent="0.35">
      <c r="B85" s="52" t="s">
        <v>130</v>
      </c>
      <c r="C85" s="18"/>
      <c r="D85" s="19"/>
      <c r="E85" s="56" t="s">
        <v>149</v>
      </c>
      <c r="F85" s="18"/>
      <c r="G85" s="18"/>
      <c r="H85" s="18"/>
      <c r="I85" s="19"/>
    </row>
    <row r="86" spans="2:9" ht="13.5" customHeight="1" x14ac:dyDescent="0.35">
      <c r="B86" s="15"/>
      <c r="C86" s="15"/>
      <c r="D86" s="15"/>
      <c r="E86" s="15"/>
      <c r="F86" s="15"/>
      <c r="G86" s="15"/>
      <c r="H86" s="15"/>
      <c r="I86" s="15"/>
    </row>
    <row r="87" spans="2:9" ht="21" customHeight="1" x14ac:dyDescent="0.35">
      <c r="B87" s="55" t="s">
        <v>150</v>
      </c>
      <c r="C87" s="18"/>
      <c r="D87" s="18"/>
      <c r="E87" s="18"/>
      <c r="F87" s="18"/>
      <c r="G87" s="18"/>
      <c r="H87" s="18"/>
      <c r="I87" s="19"/>
    </row>
    <row r="88" spans="2:9" ht="36" customHeight="1" x14ac:dyDescent="0.35">
      <c r="B88" s="52" t="s">
        <v>122</v>
      </c>
      <c r="C88" s="18"/>
      <c r="D88" s="19"/>
      <c r="E88" s="56" t="s">
        <v>151</v>
      </c>
      <c r="F88" s="18"/>
      <c r="G88" s="18"/>
      <c r="H88" s="18"/>
      <c r="I88" s="19"/>
    </row>
    <row r="89" spans="2:9" ht="21" customHeight="1" x14ac:dyDescent="0.35">
      <c r="B89" s="52" t="s">
        <v>124</v>
      </c>
      <c r="C89" s="18"/>
      <c r="D89" s="19"/>
      <c r="E89" s="56" t="s">
        <v>152</v>
      </c>
      <c r="F89" s="18"/>
      <c r="G89" s="18"/>
      <c r="H89" s="18"/>
      <c r="I89" s="19"/>
    </row>
    <row r="90" spans="2:9" ht="36" customHeight="1" x14ac:dyDescent="0.35">
      <c r="B90" s="52" t="s">
        <v>126</v>
      </c>
      <c r="C90" s="18"/>
      <c r="D90" s="19"/>
      <c r="E90" s="56" t="s">
        <v>153</v>
      </c>
      <c r="F90" s="18"/>
      <c r="G90" s="18"/>
      <c r="H90" s="18"/>
      <c r="I90" s="19"/>
    </row>
    <row r="91" spans="2:9" ht="21" customHeight="1" x14ac:dyDescent="0.35">
      <c r="B91" s="52" t="s">
        <v>128</v>
      </c>
      <c r="C91" s="18"/>
      <c r="D91" s="19"/>
      <c r="E91" s="56" t="s">
        <v>154</v>
      </c>
      <c r="F91" s="18"/>
      <c r="G91" s="18"/>
      <c r="H91" s="18"/>
      <c r="I91" s="19"/>
    </row>
    <row r="92" spans="2:9" ht="36" customHeight="1" x14ac:dyDescent="0.35">
      <c r="B92" s="52" t="s">
        <v>130</v>
      </c>
      <c r="C92" s="18"/>
      <c r="D92" s="19"/>
      <c r="E92" s="56" t="s">
        <v>155</v>
      </c>
      <c r="F92" s="18"/>
      <c r="G92" s="18"/>
      <c r="H92" s="18"/>
      <c r="I92" s="19"/>
    </row>
    <row r="93" spans="2:9" ht="13.5" customHeight="1" x14ac:dyDescent="0.35">
      <c r="B93" s="15"/>
      <c r="C93" s="15"/>
      <c r="D93" s="15"/>
      <c r="E93" s="15"/>
      <c r="F93" s="15"/>
      <c r="G93" s="15"/>
      <c r="H93" s="15"/>
      <c r="I93" s="15"/>
    </row>
    <row r="94" spans="2:9" ht="21" customHeight="1" x14ac:dyDescent="0.35">
      <c r="B94" s="61" t="s">
        <v>156</v>
      </c>
      <c r="C94" s="18"/>
      <c r="D94" s="18"/>
      <c r="E94" s="18"/>
      <c r="F94" s="18"/>
      <c r="G94" s="18"/>
      <c r="H94" s="18"/>
      <c r="I94" s="19"/>
    </row>
  </sheetData>
  <mergeCells count="114">
    <mergeCell ref="B2:I2"/>
    <mergeCell ref="G19:H19"/>
    <mergeCell ref="B40:D40"/>
    <mergeCell ref="E63:I63"/>
    <mergeCell ref="B55:D55"/>
    <mergeCell ref="B57:I57"/>
    <mergeCell ref="B64:D64"/>
    <mergeCell ref="B28:I28"/>
    <mergeCell ref="E49:I49"/>
    <mergeCell ref="D26:F26"/>
    <mergeCell ref="B37:I37"/>
    <mergeCell ref="D19:F19"/>
    <mergeCell ref="B6:I6"/>
    <mergeCell ref="B20:I20"/>
    <mergeCell ref="B52:D52"/>
    <mergeCell ref="B44:D44"/>
    <mergeCell ref="B51:D51"/>
    <mergeCell ref="B63:D63"/>
    <mergeCell ref="B48:D48"/>
    <mergeCell ref="E56:I56"/>
    <mergeCell ref="E43:I43"/>
    <mergeCell ref="B42:D42"/>
    <mergeCell ref="B5:I5"/>
    <mergeCell ref="B94:I94"/>
    <mergeCell ref="E53:I53"/>
    <mergeCell ref="B3:I3"/>
    <mergeCell ref="B69:D69"/>
    <mergeCell ref="B18:I18"/>
    <mergeCell ref="B58:I58"/>
    <mergeCell ref="E64:I64"/>
    <mergeCell ref="E51:I51"/>
    <mergeCell ref="B91:D91"/>
    <mergeCell ref="E90:I90"/>
    <mergeCell ref="B81:D81"/>
    <mergeCell ref="B90:D90"/>
    <mergeCell ref="E76:I76"/>
    <mergeCell ref="E91:I91"/>
    <mergeCell ref="E85:I85"/>
    <mergeCell ref="B71:D71"/>
    <mergeCell ref="B80:I80"/>
    <mergeCell ref="E75:I75"/>
    <mergeCell ref="B78:D78"/>
    <mergeCell ref="E88:I88"/>
    <mergeCell ref="E82:I82"/>
    <mergeCell ref="E74:I74"/>
    <mergeCell ref="B84:D84"/>
    <mergeCell ref="B77:D77"/>
    <mergeCell ref="E71:I71"/>
    <mergeCell ref="B89:D8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B67:D67"/>
    <mergeCell ref="B61:D61"/>
    <mergeCell ref="E62:I62"/>
    <mergeCell ref="B49:D49"/>
    <mergeCell ref="E60:I60"/>
    <mergeCell ref="B60:D60"/>
    <mergeCell ref="E68:I68"/>
    <mergeCell ref="E55:I55"/>
    <mergeCell ref="E52:I52"/>
    <mergeCell ref="E67:I67"/>
    <mergeCell ref="B53:D53"/>
    <mergeCell ref="E39:I39"/>
    <mergeCell ref="E48:I48"/>
    <mergeCell ref="B66:I66"/>
    <mergeCell ref="B59:I59"/>
    <mergeCell ref="D25:F25"/>
    <mergeCell ref="B24:I24"/>
    <mergeCell ref="D22:F22"/>
    <mergeCell ref="B32:I32"/>
    <mergeCell ref="D33:F33"/>
    <mergeCell ref="B41:D41"/>
    <mergeCell ref="B38:I38"/>
    <mergeCell ref="B50:D50"/>
    <mergeCell ref="E45:I45"/>
    <mergeCell ref="B92:D92"/>
    <mergeCell ref="D30:F30"/>
    <mergeCell ref="E40:I40"/>
    <mergeCell ref="B17:I17"/>
    <mergeCell ref="B73:I73"/>
    <mergeCell ref="D29:F29"/>
    <mergeCell ref="D23:F23"/>
    <mergeCell ref="E89:I89"/>
    <mergeCell ref="B62:D62"/>
    <mergeCell ref="B54:D54"/>
    <mergeCell ref="E81:I81"/>
    <mergeCell ref="E92:I92"/>
    <mergeCell ref="E61:I61"/>
    <mergeCell ref="B47:D47"/>
    <mergeCell ref="E70:I70"/>
    <mergeCell ref="B46:D46"/>
    <mergeCell ref="E54:I54"/>
    <mergeCell ref="E41:I41"/>
    <mergeCell ref="D21:F21"/>
    <mergeCell ref="E47:I47"/>
    <mergeCell ref="B70:D70"/>
    <mergeCell ref="B43:D43"/>
    <mergeCell ref="E50:I50"/>
    <mergeCell ref="E42:I42"/>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I96"/>
  <sheetViews>
    <sheetView showGridLines="0" zoomScaleNormal="100" workbookViewId="0">
      <selection activeCell="B8" sqref="B8"/>
    </sheetView>
  </sheetViews>
  <sheetFormatPr defaultColWidth="8.54296875" defaultRowHeight="14.5" x14ac:dyDescent="0.35"/>
  <cols>
    <col min="1" max="1" width="3" customWidth="1"/>
    <col min="2" max="2" width="12" customWidth="1"/>
    <col min="3" max="3" width="6" customWidth="1"/>
    <col min="4" max="4" width="12.7265625" customWidth="1"/>
    <col min="5" max="5" width="58.26953125" customWidth="1"/>
    <col min="6" max="6" width="20" customWidth="1"/>
    <col min="7" max="7" width="12" customWidth="1"/>
    <col min="8" max="8" width="53.81640625" customWidth="1"/>
    <col min="9" max="9" width="55.7265625" customWidth="1"/>
  </cols>
  <sheetData>
    <row r="1" spans="2:9" ht="13.5" customHeight="1" x14ac:dyDescent="0.35"/>
    <row r="2" spans="2:9" ht="33.75" customHeight="1" x14ac:dyDescent="0.35">
      <c r="B2" s="33" t="s">
        <v>487</v>
      </c>
      <c r="C2" s="18"/>
      <c r="D2" s="18"/>
      <c r="E2" s="18"/>
      <c r="F2" s="18"/>
      <c r="G2" s="18"/>
      <c r="H2" s="18"/>
      <c r="I2" s="19"/>
    </row>
    <row r="3" spans="2:9" ht="15.75" customHeight="1" x14ac:dyDescent="0.35">
      <c r="B3" s="32" t="s">
        <v>1</v>
      </c>
      <c r="C3" s="21"/>
      <c r="D3" s="21"/>
      <c r="E3" s="21"/>
      <c r="F3" s="21"/>
      <c r="G3" s="21"/>
      <c r="H3" s="21"/>
      <c r="I3" s="21"/>
    </row>
    <row r="5" spans="2:9" ht="21.75" customHeight="1" x14ac:dyDescent="0.35">
      <c r="B5" s="28" t="s">
        <v>2</v>
      </c>
      <c r="C5" s="18"/>
      <c r="D5" s="18"/>
      <c r="E5" s="18"/>
      <c r="F5" s="18"/>
      <c r="G5" s="18"/>
      <c r="H5" s="18"/>
      <c r="I5" s="19"/>
    </row>
    <row r="6" spans="2:9" ht="13.5" customHeight="1" x14ac:dyDescent="0.35">
      <c r="B6" s="29" t="s">
        <v>3</v>
      </c>
      <c r="C6" s="21"/>
      <c r="D6" s="21"/>
      <c r="E6" s="21"/>
      <c r="F6" s="21"/>
      <c r="G6" s="21"/>
      <c r="H6" s="21"/>
      <c r="I6" s="21"/>
    </row>
    <row r="7" spans="2:9" ht="19.5" customHeight="1" x14ac:dyDescent="0.35">
      <c r="B7" s="5" t="s">
        <v>4</v>
      </c>
      <c r="C7" s="5" t="s">
        <v>5</v>
      </c>
      <c r="D7" s="5" t="s">
        <v>6</v>
      </c>
      <c r="E7" s="5" t="s">
        <v>7</v>
      </c>
      <c r="F7" s="5" t="s">
        <v>8</v>
      </c>
      <c r="G7" s="5" t="s">
        <v>9</v>
      </c>
      <c r="H7" s="5" t="s">
        <v>10</v>
      </c>
      <c r="I7" s="5" t="s">
        <v>11</v>
      </c>
    </row>
    <row r="8" spans="2:9" ht="18" customHeight="1" x14ac:dyDescent="0.35">
      <c r="B8" s="9" t="s">
        <v>488</v>
      </c>
      <c r="C8" s="4" t="s">
        <v>13</v>
      </c>
      <c r="D8" s="4" t="s">
        <v>14</v>
      </c>
      <c r="E8" s="4" t="s">
        <v>489</v>
      </c>
      <c r="F8" s="4" t="s">
        <v>497</v>
      </c>
      <c r="G8" s="4" t="s">
        <v>17</v>
      </c>
      <c r="H8" s="4" t="s">
        <v>498</v>
      </c>
      <c r="I8" s="4" t="s">
        <v>506</v>
      </c>
    </row>
    <row r="9" spans="2:9" ht="18" customHeight="1" x14ac:dyDescent="0.35">
      <c r="B9" s="4" t="s">
        <v>488</v>
      </c>
      <c r="C9" s="4" t="s">
        <v>20</v>
      </c>
      <c r="D9" s="4" t="s">
        <v>14</v>
      </c>
      <c r="E9" s="4" t="s">
        <v>490</v>
      </c>
      <c r="F9" s="4" t="s">
        <v>497</v>
      </c>
      <c r="G9" s="4" t="s">
        <v>23</v>
      </c>
      <c r="H9" s="4" t="s">
        <v>499</v>
      </c>
      <c r="I9" s="4" t="s">
        <v>507</v>
      </c>
    </row>
    <row r="10" spans="2:9" ht="18" customHeight="1" x14ac:dyDescent="0.35">
      <c r="B10" s="4" t="s">
        <v>488</v>
      </c>
      <c r="C10" s="4" t="s">
        <v>37</v>
      </c>
      <c r="D10" s="4" t="s">
        <v>14</v>
      </c>
      <c r="E10" s="4" t="s">
        <v>491</v>
      </c>
      <c r="F10" s="4" t="s">
        <v>497</v>
      </c>
      <c r="G10" s="4" t="s">
        <v>23</v>
      </c>
      <c r="H10" s="4" t="s">
        <v>500</v>
      </c>
      <c r="I10" s="4" t="s">
        <v>508</v>
      </c>
    </row>
    <row r="11" spans="2:9" ht="18" customHeight="1" x14ac:dyDescent="0.35">
      <c r="B11" s="4" t="s">
        <v>488</v>
      </c>
      <c r="C11" s="4" t="s">
        <v>31</v>
      </c>
      <c r="D11" s="4" t="s">
        <v>14</v>
      </c>
      <c r="E11" s="4" t="s">
        <v>492</v>
      </c>
      <c r="F11" s="4" t="s">
        <v>497</v>
      </c>
      <c r="G11" s="4" t="s">
        <v>17</v>
      </c>
      <c r="H11" s="4" t="s">
        <v>501</v>
      </c>
      <c r="I11" s="4" t="s">
        <v>509</v>
      </c>
    </row>
    <row r="12" spans="2:9" ht="18" customHeight="1" x14ac:dyDescent="0.35">
      <c r="B12" s="4" t="s">
        <v>488</v>
      </c>
      <c r="C12" s="4" t="s">
        <v>26</v>
      </c>
      <c r="D12" s="4" t="s">
        <v>14</v>
      </c>
      <c r="E12" s="4" t="s">
        <v>493</v>
      </c>
      <c r="F12" s="4" t="s">
        <v>497</v>
      </c>
      <c r="G12" s="4" t="s">
        <v>17</v>
      </c>
      <c r="H12" s="4" t="s">
        <v>502</v>
      </c>
      <c r="I12" s="4" t="s">
        <v>510</v>
      </c>
    </row>
    <row r="13" spans="2:9" ht="18" customHeight="1" x14ac:dyDescent="0.35">
      <c r="B13" s="4" t="s">
        <v>488</v>
      </c>
      <c r="C13" s="4" t="s">
        <v>13</v>
      </c>
      <c r="D13" s="4" t="s">
        <v>14</v>
      </c>
      <c r="E13" s="4" t="s">
        <v>494</v>
      </c>
      <c r="F13" s="4" t="s">
        <v>497</v>
      </c>
      <c r="G13" s="4" t="s">
        <v>17</v>
      </c>
      <c r="H13" s="4" t="s">
        <v>503</v>
      </c>
      <c r="I13" s="4" t="s">
        <v>272</v>
      </c>
    </row>
    <row r="14" spans="2:9" ht="18" customHeight="1" x14ac:dyDescent="0.35">
      <c r="B14" s="4" t="s">
        <v>488</v>
      </c>
      <c r="C14" s="4" t="s">
        <v>26</v>
      </c>
      <c r="D14" s="4" t="s">
        <v>14</v>
      </c>
      <c r="E14" s="4" t="s">
        <v>495</v>
      </c>
      <c r="F14" s="4" t="s">
        <v>497</v>
      </c>
      <c r="G14" s="4" t="s">
        <v>17</v>
      </c>
      <c r="H14" s="4" t="s">
        <v>504</v>
      </c>
      <c r="I14" s="4" t="s">
        <v>511</v>
      </c>
    </row>
    <row r="15" spans="2:9" ht="18" customHeight="1" x14ac:dyDescent="0.35">
      <c r="B15" s="4" t="s">
        <v>488</v>
      </c>
      <c r="C15" s="4" t="s">
        <v>31</v>
      </c>
      <c r="D15" s="4" t="s">
        <v>14</v>
      </c>
      <c r="E15" s="4" t="s">
        <v>496</v>
      </c>
      <c r="F15" s="4" t="s">
        <v>497</v>
      </c>
      <c r="G15" s="4" t="s">
        <v>17</v>
      </c>
      <c r="H15" s="4" t="s">
        <v>505</v>
      </c>
      <c r="I15" s="4" t="s">
        <v>512</v>
      </c>
    </row>
    <row r="17" spans="2:9" ht="21.75" customHeight="1" x14ac:dyDescent="0.35">
      <c r="B17" s="26" t="s">
        <v>55</v>
      </c>
      <c r="C17" s="18"/>
      <c r="D17" s="18"/>
      <c r="E17" s="18"/>
      <c r="F17" s="18"/>
      <c r="G17" s="18"/>
      <c r="H17" s="18"/>
      <c r="I17" s="19"/>
    </row>
    <row r="18" spans="2:9" ht="13.5" customHeight="1" x14ac:dyDescent="0.35">
      <c r="B18" s="29" t="s">
        <v>56</v>
      </c>
      <c r="C18" s="21"/>
      <c r="D18" s="21"/>
      <c r="E18" s="21"/>
      <c r="F18" s="21"/>
      <c r="G18" s="21"/>
      <c r="H18" s="21"/>
      <c r="I18" s="21"/>
    </row>
    <row r="19" spans="2:9" ht="19.5" customHeight="1" x14ac:dyDescent="0.35">
      <c r="B19" s="2" t="s">
        <v>57</v>
      </c>
      <c r="C19" s="2" t="s">
        <v>5</v>
      </c>
      <c r="D19" s="34" t="s">
        <v>58</v>
      </c>
      <c r="E19" s="18"/>
      <c r="F19" s="19"/>
      <c r="G19" s="34" t="s">
        <v>59</v>
      </c>
      <c r="H19" s="19"/>
      <c r="I19" s="2" t="s">
        <v>60</v>
      </c>
    </row>
    <row r="20" spans="2:9" ht="15.75" customHeight="1" x14ac:dyDescent="0.35">
      <c r="B20" s="30" t="s">
        <v>61</v>
      </c>
      <c r="C20" s="18"/>
      <c r="D20" s="18"/>
      <c r="E20" s="18"/>
      <c r="F20" s="18"/>
      <c r="G20" s="18"/>
      <c r="H20" s="18"/>
      <c r="I20" s="19"/>
    </row>
    <row r="21" spans="2:9" ht="18" customHeight="1" x14ac:dyDescent="0.35">
      <c r="B21" s="4"/>
      <c r="C21" s="4" t="s">
        <v>13</v>
      </c>
      <c r="D21" s="4"/>
      <c r="E21" s="4" t="s">
        <v>513</v>
      </c>
      <c r="F21" s="4"/>
      <c r="G21" s="4"/>
      <c r="H21" s="4" t="s">
        <v>497</v>
      </c>
      <c r="I21" s="4" t="s">
        <v>518</v>
      </c>
    </row>
    <row r="22" spans="2:9" ht="18" customHeight="1" x14ac:dyDescent="0.35">
      <c r="B22" s="4"/>
      <c r="C22" s="4" t="s">
        <v>20</v>
      </c>
      <c r="D22" s="4"/>
      <c r="E22" s="4" t="s">
        <v>514</v>
      </c>
      <c r="F22" s="4"/>
      <c r="G22" s="4"/>
      <c r="H22" s="4" t="s">
        <v>497</v>
      </c>
      <c r="I22" s="4" t="s">
        <v>519</v>
      </c>
    </row>
    <row r="23" spans="2:9" ht="18" customHeight="1" x14ac:dyDescent="0.35">
      <c r="B23" s="4"/>
      <c r="C23" s="4" t="s">
        <v>37</v>
      </c>
      <c r="D23" s="4"/>
      <c r="E23" s="4" t="s">
        <v>515</v>
      </c>
      <c r="F23" s="4"/>
      <c r="G23" s="4"/>
      <c r="H23" s="4" t="s">
        <v>497</v>
      </c>
      <c r="I23" s="4" t="s">
        <v>520</v>
      </c>
    </row>
    <row r="24" spans="2:9" ht="18" customHeight="1" x14ac:dyDescent="0.35">
      <c r="B24" s="4"/>
      <c r="C24" s="4" t="s">
        <v>31</v>
      </c>
      <c r="D24" s="4"/>
      <c r="E24" s="4" t="s">
        <v>516</v>
      </c>
      <c r="F24" s="4"/>
      <c r="G24" s="4"/>
      <c r="H24" s="4" t="s">
        <v>497</v>
      </c>
      <c r="I24" s="4" t="s">
        <v>521</v>
      </c>
    </row>
    <row r="25" spans="2:9" ht="18" customHeight="1" x14ac:dyDescent="0.35">
      <c r="B25" s="4"/>
      <c r="C25" s="4" t="s">
        <v>26</v>
      </c>
      <c r="D25" s="4"/>
      <c r="E25" s="4" t="s">
        <v>517</v>
      </c>
      <c r="F25" s="4"/>
      <c r="G25" s="4"/>
      <c r="H25" s="4" t="s">
        <v>497</v>
      </c>
      <c r="I25" s="4" t="s">
        <v>522</v>
      </c>
    </row>
    <row r="26" spans="2:9" ht="15.75" customHeight="1" x14ac:dyDescent="0.35">
      <c r="B26" s="30" t="s">
        <v>70</v>
      </c>
      <c r="C26" s="18"/>
      <c r="D26" s="18"/>
      <c r="E26" s="18"/>
      <c r="F26" s="18"/>
      <c r="G26" s="18"/>
      <c r="H26" s="18"/>
      <c r="I26" s="19"/>
    </row>
    <row r="27" spans="2:9" ht="18" customHeight="1" x14ac:dyDescent="0.35">
      <c r="B27" s="4"/>
      <c r="C27" s="4" t="s">
        <v>13</v>
      </c>
      <c r="D27" s="4"/>
      <c r="E27" s="4" t="s">
        <v>523</v>
      </c>
      <c r="F27" s="4"/>
      <c r="G27" s="4"/>
      <c r="H27" s="4" t="s">
        <v>497</v>
      </c>
      <c r="I27" s="4" t="s">
        <v>526</v>
      </c>
    </row>
    <row r="28" spans="2:9" ht="18" customHeight="1" x14ac:dyDescent="0.35">
      <c r="B28" s="4"/>
      <c r="C28" s="4" t="s">
        <v>37</v>
      </c>
      <c r="D28" s="4"/>
      <c r="E28" s="4" t="s">
        <v>524</v>
      </c>
      <c r="F28" s="4"/>
      <c r="G28" s="4"/>
      <c r="H28" s="4" t="s">
        <v>497</v>
      </c>
      <c r="I28" s="4" t="s">
        <v>527</v>
      </c>
    </row>
    <row r="29" spans="2:9" ht="18" customHeight="1" x14ac:dyDescent="0.35">
      <c r="B29" s="4"/>
      <c r="C29" s="4" t="s">
        <v>26</v>
      </c>
      <c r="D29" s="4"/>
      <c r="E29" s="4" t="s">
        <v>525</v>
      </c>
      <c r="F29" s="4"/>
      <c r="G29" s="4"/>
      <c r="H29" s="4" t="s">
        <v>497</v>
      </c>
      <c r="I29" s="4" t="s">
        <v>528</v>
      </c>
    </row>
    <row r="30" spans="2:9" ht="15.75" customHeight="1" x14ac:dyDescent="0.35">
      <c r="B30" s="30" t="s">
        <v>77</v>
      </c>
      <c r="C30" s="18"/>
      <c r="D30" s="18"/>
      <c r="E30" s="18"/>
      <c r="F30" s="18"/>
      <c r="G30" s="18"/>
      <c r="H30" s="18"/>
      <c r="I30" s="19"/>
    </row>
    <row r="31" spans="2:9" ht="18" customHeight="1" x14ac:dyDescent="0.35">
      <c r="B31" s="4"/>
      <c r="C31" s="4" t="s">
        <v>31</v>
      </c>
      <c r="D31" s="4"/>
      <c r="E31" s="4" t="s">
        <v>529</v>
      </c>
      <c r="F31" s="4"/>
      <c r="G31" s="4"/>
      <c r="H31" s="4" t="s">
        <v>497</v>
      </c>
      <c r="I31" s="4" t="s">
        <v>531</v>
      </c>
    </row>
    <row r="32" spans="2:9" ht="18" customHeight="1" x14ac:dyDescent="0.35">
      <c r="B32" s="4"/>
      <c r="C32" s="4" t="s">
        <v>20</v>
      </c>
      <c r="D32" s="4"/>
      <c r="E32" s="4" t="s">
        <v>530</v>
      </c>
      <c r="F32" s="4"/>
      <c r="G32" s="4"/>
      <c r="H32" s="4" t="s">
        <v>497</v>
      </c>
      <c r="I32" s="4" t="s">
        <v>532</v>
      </c>
    </row>
    <row r="33" spans="2:9" ht="18" customHeight="1" x14ac:dyDescent="0.35">
      <c r="B33" s="4"/>
      <c r="C33" s="4"/>
      <c r="D33" s="4"/>
      <c r="E33" s="4"/>
      <c r="F33" s="4"/>
      <c r="G33" s="4"/>
      <c r="H33" s="4"/>
      <c r="I33" s="4"/>
    </row>
    <row r="34" spans="2:9" ht="15.75" customHeight="1" x14ac:dyDescent="0.35">
      <c r="B34" s="30" t="s">
        <v>85</v>
      </c>
      <c r="C34" s="18"/>
      <c r="D34" s="18"/>
      <c r="E34" s="18"/>
      <c r="F34" s="18"/>
      <c r="G34" s="18"/>
      <c r="H34" s="18"/>
      <c r="I34" s="19"/>
    </row>
    <row r="35" spans="2:9" ht="18" customHeight="1" x14ac:dyDescent="0.35">
      <c r="B35" s="4"/>
      <c r="C35" s="4" t="s">
        <v>13</v>
      </c>
      <c r="D35" s="4"/>
      <c r="E35" s="4" t="s">
        <v>533</v>
      </c>
      <c r="F35" s="4"/>
      <c r="G35" s="4"/>
      <c r="H35" s="4" t="s">
        <v>497</v>
      </c>
      <c r="I35" s="4" t="s">
        <v>534</v>
      </c>
    </row>
    <row r="36" spans="2:9" ht="18" customHeight="1" x14ac:dyDescent="0.35">
      <c r="B36" s="4"/>
      <c r="C36" s="4"/>
      <c r="D36" s="4"/>
      <c r="E36" s="4"/>
      <c r="F36" s="4"/>
      <c r="G36" s="4"/>
      <c r="H36" s="4"/>
      <c r="I36" s="4"/>
    </row>
    <row r="37" spans="2:9" ht="18" customHeight="1" x14ac:dyDescent="0.35">
      <c r="B37" s="4"/>
      <c r="C37" s="4"/>
      <c r="D37" s="4"/>
      <c r="E37" s="4"/>
      <c r="F37" s="4"/>
      <c r="G37" s="4"/>
      <c r="H37" s="4"/>
      <c r="I37" s="4"/>
    </row>
    <row r="39" spans="2:9" ht="21.75" customHeight="1" x14ac:dyDescent="0.35">
      <c r="B39" s="36" t="s">
        <v>90</v>
      </c>
      <c r="C39" s="18"/>
      <c r="D39" s="18"/>
      <c r="E39" s="18"/>
      <c r="F39" s="18"/>
      <c r="G39" s="18"/>
      <c r="H39" s="18"/>
      <c r="I39" s="19"/>
    </row>
    <row r="40" spans="2:9" ht="13.5" customHeight="1" x14ac:dyDescent="0.35">
      <c r="B40" s="29" t="s">
        <v>91</v>
      </c>
      <c r="C40" s="21"/>
      <c r="D40" s="21"/>
      <c r="E40" s="21"/>
      <c r="F40" s="21"/>
      <c r="G40" s="21"/>
      <c r="H40" s="21"/>
      <c r="I40" s="21"/>
    </row>
    <row r="41" spans="2:9" ht="19.5" customHeight="1" x14ac:dyDescent="0.35">
      <c r="B41" s="1" t="s">
        <v>92</v>
      </c>
      <c r="C41" s="1" t="s">
        <v>93</v>
      </c>
      <c r="D41" s="1" t="s">
        <v>94</v>
      </c>
      <c r="E41" s="24" t="s">
        <v>95</v>
      </c>
      <c r="F41" s="18"/>
      <c r="G41" s="18"/>
      <c r="H41" s="18"/>
      <c r="I41" s="19"/>
    </row>
    <row r="42" spans="2:9" ht="21.75" customHeight="1" x14ac:dyDescent="0.35">
      <c r="B42" s="22" t="s">
        <v>96</v>
      </c>
      <c r="C42" s="18"/>
      <c r="D42" s="19"/>
      <c r="E42" s="17" t="s">
        <v>535</v>
      </c>
      <c r="F42" s="18"/>
      <c r="G42" s="18"/>
      <c r="H42" s="18"/>
      <c r="I42" s="19"/>
    </row>
    <row r="43" spans="2:9" ht="21.75" customHeight="1" x14ac:dyDescent="0.35">
      <c r="B43" s="23" t="s">
        <v>98</v>
      </c>
      <c r="C43" s="18"/>
      <c r="D43" s="19"/>
      <c r="E43" s="17" t="s">
        <v>536</v>
      </c>
      <c r="F43" s="18"/>
      <c r="G43" s="18"/>
      <c r="H43" s="18"/>
      <c r="I43" s="19"/>
    </row>
    <row r="44" spans="2:9" ht="21.75" customHeight="1" x14ac:dyDescent="0.35">
      <c r="B44" s="23" t="s">
        <v>100</v>
      </c>
      <c r="C44" s="18"/>
      <c r="D44" s="19"/>
      <c r="E44" s="17" t="s">
        <v>537</v>
      </c>
      <c r="F44" s="18"/>
      <c r="G44" s="18"/>
      <c r="H44" s="18"/>
      <c r="I44" s="19"/>
    </row>
    <row r="45" spans="2:9" ht="21.75" customHeight="1" x14ac:dyDescent="0.35">
      <c r="B45" s="23" t="s">
        <v>102</v>
      </c>
      <c r="C45" s="18"/>
      <c r="D45" s="19"/>
      <c r="E45" s="17" t="s">
        <v>538</v>
      </c>
      <c r="F45" s="18"/>
      <c r="G45" s="18"/>
      <c r="H45" s="18"/>
      <c r="I45" s="19"/>
    </row>
    <row r="46" spans="2:9" ht="21.75" customHeight="1" x14ac:dyDescent="0.35">
      <c r="B46" s="22" t="s">
        <v>104</v>
      </c>
      <c r="C46" s="18"/>
      <c r="D46" s="19"/>
      <c r="E46" s="17" t="s">
        <v>539</v>
      </c>
      <c r="F46" s="18"/>
      <c r="G46" s="18"/>
      <c r="H46" s="18"/>
      <c r="I46" s="19"/>
    </row>
    <row r="47" spans="2:9" ht="21.75" customHeight="1" x14ac:dyDescent="0.35">
      <c r="B47" s="23" t="s">
        <v>98</v>
      </c>
      <c r="C47" s="18"/>
      <c r="D47" s="19"/>
      <c r="E47" s="17" t="s">
        <v>540</v>
      </c>
      <c r="F47" s="18"/>
      <c r="G47" s="18"/>
      <c r="H47" s="18"/>
      <c r="I47" s="19"/>
    </row>
    <row r="48" spans="2:9" ht="21.75" customHeight="1" x14ac:dyDescent="0.35">
      <c r="B48" s="23" t="s">
        <v>100</v>
      </c>
      <c r="C48" s="18"/>
      <c r="D48" s="19"/>
      <c r="E48" s="17" t="s">
        <v>541</v>
      </c>
      <c r="F48" s="18"/>
      <c r="G48" s="18"/>
      <c r="H48" s="18"/>
      <c r="I48" s="19"/>
    </row>
    <row r="49" spans="2:9" ht="21.75" customHeight="1" x14ac:dyDescent="0.35">
      <c r="B49" s="23" t="s">
        <v>102</v>
      </c>
      <c r="C49" s="18"/>
      <c r="D49" s="19"/>
      <c r="E49" s="17" t="s">
        <v>542</v>
      </c>
      <c r="F49" s="18"/>
      <c r="G49" s="18"/>
      <c r="H49" s="18"/>
      <c r="I49" s="19"/>
    </row>
    <row r="50" spans="2:9" ht="21.75" customHeight="1" x14ac:dyDescent="0.35">
      <c r="B50" s="22" t="s">
        <v>109</v>
      </c>
      <c r="C50" s="18"/>
      <c r="D50" s="19"/>
      <c r="E50" s="17" t="s">
        <v>543</v>
      </c>
      <c r="F50" s="18"/>
      <c r="G50" s="18"/>
      <c r="H50" s="18"/>
      <c r="I50" s="19"/>
    </row>
    <row r="51" spans="2:9" ht="21.75" customHeight="1" x14ac:dyDescent="0.35">
      <c r="B51" s="23" t="s">
        <v>98</v>
      </c>
      <c r="C51" s="18"/>
      <c r="D51" s="19"/>
      <c r="E51" s="17" t="s">
        <v>544</v>
      </c>
      <c r="F51" s="18"/>
      <c r="G51" s="18"/>
      <c r="H51" s="18"/>
      <c r="I51" s="19"/>
    </row>
    <row r="52" spans="2:9" ht="21.75" customHeight="1" x14ac:dyDescent="0.35">
      <c r="B52" s="23" t="s">
        <v>100</v>
      </c>
      <c r="C52" s="18"/>
      <c r="D52" s="19"/>
      <c r="E52" s="17" t="s">
        <v>545</v>
      </c>
      <c r="F52" s="18"/>
      <c r="G52" s="18"/>
      <c r="H52" s="18"/>
      <c r="I52" s="19"/>
    </row>
    <row r="53" spans="2:9" ht="21.75" customHeight="1" x14ac:dyDescent="0.35">
      <c r="B53" s="23" t="s">
        <v>102</v>
      </c>
      <c r="C53" s="18"/>
      <c r="D53" s="19"/>
      <c r="E53" s="17" t="s">
        <v>546</v>
      </c>
      <c r="F53" s="18"/>
      <c r="G53" s="18"/>
      <c r="H53" s="18"/>
      <c r="I53" s="19"/>
    </row>
    <row r="54" spans="2:9" ht="21.75" customHeight="1" x14ac:dyDescent="0.35">
      <c r="B54" s="22" t="s">
        <v>114</v>
      </c>
      <c r="C54" s="18"/>
      <c r="D54" s="19"/>
      <c r="E54" s="17" t="s">
        <v>547</v>
      </c>
      <c r="F54" s="18"/>
      <c r="G54" s="18"/>
      <c r="H54" s="18"/>
      <c r="I54" s="19"/>
    </row>
    <row r="55" spans="2:9" ht="21.75" customHeight="1" x14ac:dyDescent="0.35">
      <c r="B55" s="23" t="s">
        <v>98</v>
      </c>
      <c r="C55" s="18"/>
      <c r="D55" s="19"/>
      <c r="E55" s="17" t="s">
        <v>548</v>
      </c>
      <c r="F55" s="18"/>
      <c r="G55" s="18"/>
      <c r="H55" s="18"/>
      <c r="I55" s="19"/>
    </row>
    <row r="56" spans="2:9" ht="21.75" customHeight="1" x14ac:dyDescent="0.35">
      <c r="B56" s="23" t="s">
        <v>100</v>
      </c>
      <c r="C56" s="18"/>
      <c r="D56" s="19"/>
      <c r="E56" s="17" t="s">
        <v>549</v>
      </c>
      <c r="F56" s="18"/>
      <c r="G56" s="18"/>
      <c r="H56" s="18"/>
      <c r="I56" s="19"/>
    </row>
    <row r="57" spans="2:9" ht="21.75" customHeight="1" x14ac:dyDescent="0.35">
      <c r="B57" s="23" t="s">
        <v>102</v>
      </c>
      <c r="C57" s="18"/>
      <c r="D57" s="19"/>
      <c r="E57" s="17" t="s">
        <v>550</v>
      </c>
      <c r="F57" s="18"/>
      <c r="G57" s="18"/>
      <c r="H57" s="18"/>
      <c r="I57" s="19"/>
    </row>
    <row r="58" spans="2:9" x14ac:dyDescent="0.35">
      <c r="E58" s="17"/>
      <c r="F58" s="18"/>
      <c r="G58" s="18"/>
      <c r="H58" s="18"/>
      <c r="I58" s="19"/>
    </row>
    <row r="59" spans="2:9" ht="21.75" customHeight="1" x14ac:dyDescent="0.35">
      <c r="B59" s="35" t="s">
        <v>119</v>
      </c>
      <c r="C59" s="18"/>
      <c r="D59" s="18"/>
      <c r="E59" s="18"/>
      <c r="F59" s="18"/>
      <c r="G59" s="18"/>
      <c r="H59" s="18"/>
      <c r="I59" s="19"/>
    </row>
    <row r="60" spans="2:9" ht="13.5" customHeight="1" x14ac:dyDescent="0.35">
      <c r="B60" s="29" t="s">
        <v>120</v>
      </c>
      <c r="C60" s="21"/>
      <c r="D60" s="21"/>
      <c r="E60" s="21"/>
      <c r="F60" s="21"/>
      <c r="G60" s="21"/>
      <c r="H60" s="21"/>
      <c r="I60" s="21"/>
    </row>
    <row r="61" spans="2:9" ht="18" customHeight="1" x14ac:dyDescent="0.35">
      <c r="B61" s="27" t="s">
        <v>121</v>
      </c>
      <c r="C61" s="18"/>
      <c r="D61" s="18"/>
      <c r="E61" s="18"/>
      <c r="F61" s="18"/>
      <c r="G61" s="18"/>
      <c r="H61" s="18"/>
      <c r="I61" s="19"/>
    </row>
    <row r="62" spans="2:9" ht="18" customHeight="1" x14ac:dyDescent="0.35">
      <c r="B62" s="25" t="s">
        <v>122</v>
      </c>
      <c r="C62" s="18"/>
      <c r="D62" s="19"/>
      <c r="E62" s="20" t="s">
        <v>551</v>
      </c>
      <c r="F62" s="21"/>
      <c r="G62" s="21"/>
      <c r="H62" s="21"/>
      <c r="I62" s="21"/>
    </row>
    <row r="63" spans="2:9" ht="18" customHeight="1" x14ac:dyDescent="0.35">
      <c r="B63" s="25" t="s">
        <v>124</v>
      </c>
      <c r="C63" s="18"/>
      <c r="D63" s="19"/>
      <c r="E63" s="20" t="s">
        <v>552</v>
      </c>
      <c r="F63" s="21"/>
      <c r="G63" s="21"/>
      <c r="H63" s="21"/>
      <c r="I63" s="21"/>
    </row>
    <row r="64" spans="2:9" ht="30.5" customHeight="1" x14ac:dyDescent="0.35">
      <c r="B64" s="25" t="s">
        <v>126</v>
      </c>
      <c r="C64" s="18"/>
      <c r="D64" s="19"/>
      <c r="E64" s="20" t="s">
        <v>553</v>
      </c>
      <c r="F64" s="21"/>
      <c r="G64" s="21"/>
      <c r="H64" s="21"/>
      <c r="I64" s="21"/>
    </row>
    <row r="65" spans="2:9" ht="18" customHeight="1" x14ac:dyDescent="0.35">
      <c r="B65" s="25" t="s">
        <v>128</v>
      </c>
      <c r="C65" s="18"/>
      <c r="D65" s="19"/>
      <c r="E65" s="20" t="s">
        <v>554</v>
      </c>
      <c r="F65" s="21"/>
      <c r="G65" s="21"/>
      <c r="H65" s="21"/>
      <c r="I65" s="21"/>
    </row>
    <row r="66" spans="2:9" ht="18" customHeight="1" x14ac:dyDescent="0.35">
      <c r="B66" s="25" t="s">
        <v>130</v>
      </c>
      <c r="C66" s="18"/>
      <c r="D66" s="19"/>
      <c r="E66" s="20" t="s">
        <v>555</v>
      </c>
      <c r="F66" s="21"/>
      <c r="G66" s="21"/>
      <c r="H66" s="21"/>
      <c r="I66" s="21"/>
    </row>
    <row r="68" spans="2:9" ht="18" customHeight="1" x14ac:dyDescent="0.35">
      <c r="B68" s="27" t="s">
        <v>132</v>
      </c>
      <c r="C68" s="18"/>
      <c r="D68" s="18"/>
      <c r="E68" s="18"/>
      <c r="F68" s="18"/>
      <c r="G68" s="18"/>
      <c r="H68" s="18"/>
      <c r="I68" s="19"/>
    </row>
    <row r="69" spans="2:9" ht="18" customHeight="1" x14ac:dyDescent="0.35">
      <c r="B69" s="25" t="s">
        <v>122</v>
      </c>
      <c r="C69" s="18"/>
      <c r="D69" s="19"/>
      <c r="E69" s="20" t="s">
        <v>556</v>
      </c>
      <c r="F69" s="21"/>
      <c r="G69" s="21"/>
      <c r="H69" s="21"/>
      <c r="I69" s="21"/>
    </row>
    <row r="70" spans="2:9" ht="18" customHeight="1" x14ac:dyDescent="0.35">
      <c r="B70" s="25" t="s">
        <v>124</v>
      </c>
      <c r="C70" s="18"/>
      <c r="D70" s="19"/>
      <c r="E70" s="20" t="s">
        <v>557</v>
      </c>
      <c r="F70" s="21"/>
      <c r="G70" s="21"/>
      <c r="H70" s="21"/>
      <c r="I70" s="21"/>
    </row>
    <row r="71" spans="2:9" ht="43" customHeight="1" x14ac:dyDescent="0.35">
      <c r="B71" s="25" t="s">
        <v>126</v>
      </c>
      <c r="C71" s="18"/>
      <c r="D71" s="19"/>
      <c r="E71" s="20" t="s">
        <v>558</v>
      </c>
      <c r="F71" s="21"/>
      <c r="G71" s="21"/>
      <c r="H71" s="21"/>
      <c r="I71" s="21"/>
    </row>
    <row r="72" spans="2:9" ht="18" customHeight="1" x14ac:dyDescent="0.35">
      <c r="B72" s="25" t="s">
        <v>128</v>
      </c>
      <c r="C72" s="18"/>
      <c r="D72" s="19"/>
      <c r="E72" s="20" t="s">
        <v>559</v>
      </c>
      <c r="F72" s="21"/>
      <c r="G72" s="21"/>
      <c r="H72" s="21"/>
      <c r="I72" s="21"/>
    </row>
    <row r="73" spans="2:9" ht="18" customHeight="1" x14ac:dyDescent="0.35">
      <c r="B73" s="25" t="s">
        <v>130</v>
      </c>
      <c r="C73" s="18"/>
      <c r="D73" s="19"/>
      <c r="E73" s="20" t="s">
        <v>560</v>
      </c>
      <c r="F73" s="21"/>
      <c r="G73" s="21"/>
      <c r="H73" s="21"/>
      <c r="I73" s="21"/>
    </row>
    <row r="75" spans="2:9" ht="18" customHeight="1" x14ac:dyDescent="0.35">
      <c r="B75" s="27" t="s">
        <v>138</v>
      </c>
      <c r="C75" s="18"/>
      <c r="D75" s="18"/>
      <c r="E75" s="18"/>
      <c r="F75" s="18"/>
      <c r="G75" s="18"/>
      <c r="H75" s="18"/>
      <c r="I75" s="19"/>
    </row>
    <row r="76" spans="2:9" ht="18" customHeight="1" x14ac:dyDescent="0.35">
      <c r="B76" s="25" t="s">
        <v>122</v>
      </c>
      <c r="C76" s="18"/>
      <c r="D76" s="19"/>
      <c r="E76" s="23" t="s">
        <v>561</v>
      </c>
      <c r="F76" s="18"/>
      <c r="G76" s="18"/>
      <c r="H76" s="18"/>
      <c r="I76" s="19"/>
    </row>
    <row r="77" spans="2:9" ht="18" customHeight="1" x14ac:dyDescent="0.35">
      <c r="B77" s="25" t="s">
        <v>124</v>
      </c>
      <c r="C77" s="18"/>
      <c r="D77" s="19"/>
      <c r="E77" s="23" t="s">
        <v>562</v>
      </c>
      <c r="F77" s="18"/>
      <c r="G77" s="18"/>
      <c r="H77" s="18"/>
      <c r="I77" s="19"/>
    </row>
    <row r="78" spans="2:9" ht="46" customHeight="1" x14ac:dyDescent="0.35">
      <c r="B78" s="25" t="s">
        <v>126</v>
      </c>
      <c r="C78" s="18"/>
      <c r="D78" s="19"/>
      <c r="E78" s="23" t="s">
        <v>563</v>
      </c>
      <c r="F78" s="18"/>
      <c r="G78" s="18"/>
      <c r="H78" s="18"/>
      <c r="I78" s="19"/>
    </row>
    <row r="79" spans="2:9" ht="18" customHeight="1" x14ac:dyDescent="0.35">
      <c r="B79" s="25" t="s">
        <v>128</v>
      </c>
      <c r="C79" s="18"/>
      <c r="D79" s="19"/>
      <c r="E79" s="23" t="s">
        <v>564</v>
      </c>
      <c r="F79" s="18"/>
      <c r="G79" s="18"/>
      <c r="H79" s="18"/>
      <c r="I79" s="19"/>
    </row>
    <row r="80" spans="2:9" ht="18" customHeight="1" x14ac:dyDescent="0.35">
      <c r="B80" s="25" t="s">
        <v>130</v>
      </c>
      <c r="C80" s="18"/>
      <c r="D80" s="19"/>
      <c r="E80" s="23" t="s">
        <v>565</v>
      </c>
      <c r="F80" s="18"/>
      <c r="G80" s="18"/>
      <c r="H80" s="18"/>
      <c r="I80" s="19"/>
    </row>
    <row r="82" spans="2:9" ht="18" customHeight="1" x14ac:dyDescent="0.35">
      <c r="B82" s="27" t="s">
        <v>144</v>
      </c>
      <c r="C82" s="18"/>
      <c r="D82" s="18"/>
      <c r="E82" s="18"/>
      <c r="F82" s="18"/>
      <c r="G82" s="18"/>
      <c r="H82" s="18"/>
      <c r="I82" s="19"/>
    </row>
    <row r="83" spans="2:9" ht="18" customHeight="1" x14ac:dyDescent="0.35">
      <c r="B83" s="25" t="s">
        <v>122</v>
      </c>
      <c r="C83" s="18"/>
      <c r="D83" s="19"/>
      <c r="E83" s="23" t="s">
        <v>566</v>
      </c>
      <c r="F83" s="18"/>
      <c r="G83" s="18"/>
      <c r="H83" s="18"/>
      <c r="I83" s="19"/>
    </row>
    <row r="84" spans="2:9" ht="18" customHeight="1" x14ac:dyDescent="0.35">
      <c r="B84" s="25" t="s">
        <v>124</v>
      </c>
      <c r="C84" s="18"/>
      <c r="D84" s="19"/>
      <c r="E84" s="23" t="s">
        <v>567</v>
      </c>
      <c r="F84" s="18"/>
      <c r="G84" s="18"/>
      <c r="H84" s="18"/>
      <c r="I84" s="19"/>
    </row>
    <row r="85" spans="2:9" ht="37" customHeight="1" x14ac:dyDescent="0.35">
      <c r="B85" s="25" t="s">
        <v>126</v>
      </c>
      <c r="C85" s="18"/>
      <c r="D85" s="19"/>
      <c r="E85" s="23" t="s">
        <v>568</v>
      </c>
      <c r="F85" s="18"/>
      <c r="G85" s="18"/>
      <c r="H85" s="18"/>
      <c r="I85" s="19"/>
    </row>
    <row r="86" spans="2:9" ht="18" customHeight="1" x14ac:dyDescent="0.35">
      <c r="B86" s="25" t="s">
        <v>128</v>
      </c>
      <c r="C86" s="18"/>
      <c r="D86" s="19"/>
      <c r="E86" s="68" t="s">
        <v>569</v>
      </c>
      <c r="F86" s="18"/>
      <c r="G86" s="18"/>
      <c r="H86" s="18"/>
      <c r="I86" s="19"/>
    </row>
    <row r="87" spans="2:9" ht="18" customHeight="1" x14ac:dyDescent="0.35">
      <c r="B87" s="25" t="s">
        <v>130</v>
      </c>
      <c r="C87" s="18"/>
      <c r="D87" s="19"/>
      <c r="E87" s="68" t="s">
        <v>570</v>
      </c>
      <c r="F87" s="18"/>
      <c r="G87" s="18"/>
      <c r="H87" s="18"/>
      <c r="I87" s="19"/>
    </row>
    <row r="89" spans="2:9" ht="18" customHeight="1" x14ac:dyDescent="0.35">
      <c r="B89" s="27" t="s">
        <v>150</v>
      </c>
      <c r="C89" s="18"/>
      <c r="D89" s="18"/>
      <c r="E89" s="18"/>
      <c r="F89" s="18"/>
      <c r="G89" s="18"/>
      <c r="H89" s="18"/>
      <c r="I89" s="19"/>
    </row>
    <row r="90" spans="2:9" ht="18" customHeight="1" x14ac:dyDescent="0.35">
      <c r="B90" s="25" t="s">
        <v>122</v>
      </c>
      <c r="C90" s="18"/>
      <c r="D90" s="19"/>
      <c r="E90" s="68" t="s">
        <v>571</v>
      </c>
      <c r="F90" s="18"/>
      <c r="G90" s="18"/>
      <c r="H90" s="18"/>
      <c r="I90" s="19"/>
    </row>
    <row r="91" spans="2:9" ht="18" customHeight="1" x14ac:dyDescent="0.35">
      <c r="B91" s="25" t="s">
        <v>124</v>
      </c>
      <c r="C91" s="18"/>
      <c r="D91" s="19"/>
      <c r="E91" s="68" t="s">
        <v>572</v>
      </c>
      <c r="F91" s="18"/>
      <c r="G91" s="18"/>
      <c r="H91" s="18"/>
      <c r="I91" s="19"/>
    </row>
    <row r="92" spans="2:9" ht="39.5" customHeight="1" x14ac:dyDescent="0.35">
      <c r="B92" s="25" t="s">
        <v>126</v>
      </c>
      <c r="C92" s="18"/>
      <c r="D92" s="19"/>
      <c r="E92" s="68" t="s">
        <v>573</v>
      </c>
      <c r="F92" s="18"/>
      <c r="G92" s="18"/>
      <c r="H92" s="18"/>
      <c r="I92" s="19"/>
    </row>
    <row r="93" spans="2:9" ht="18" customHeight="1" x14ac:dyDescent="0.35">
      <c r="B93" s="25" t="s">
        <v>128</v>
      </c>
      <c r="C93" s="18"/>
      <c r="D93" s="19"/>
      <c r="E93" s="68" t="s">
        <v>574</v>
      </c>
      <c r="F93" s="18"/>
      <c r="G93" s="18"/>
      <c r="H93" s="18"/>
      <c r="I93" s="19"/>
    </row>
    <row r="94" spans="2:9" ht="18" customHeight="1" x14ac:dyDescent="0.35">
      <c r="B94" s="25" t="s">
        <v>130</v>
      </c>
      <c r="C94" s="18"/>
      <c r="D94" s="19"/>
      <c r="E94" s="68" t="s">
        <v>575</v>
      </c>
      <c r="F94" s="18"/>
      <c r="G94" s="18"/>
      <c r="H94" s="18"/>
      <c r="I94" s="19"/>
    </row>
    <row r="96" spans="2:9" ht="15.75" customHeight="1" x14ac:dyDescent="0.35">
      <c r="B96" s="31" t="s">
        <v>447</v>
      </c>
      <c r="C96" s="18"/>
      <c r="D96" s="18"/>
      <c r="E96" s="18"/>
      <c r="F96" s="18"/>
      <c r="G96" s="18"/>
      <c r="H96" s="18"/>
      <c r="I96" s="19"/>
    </row>
  </sheetData>
  <mergeCells count="106">
    <mergeCell ref="B96:I96"/>
    <mergeCell ref="E55:I55"/>
    <mergeCell ref="B3:I3"/>
    <mergeCell ref="B71:D71"/>
    <mergeCell ref="B18:I18"/>
    <mergeCell ref="B60:I60"/>
    <mergeCell ref="E66:I66"/>
    <mergeCell ref="E53:I53"/>
    <mergeCell ref="B2:I2"/>
    <mergeCell ref="G19:H19"/>
    <mergeCell ref="B42:D42"/>
    <mergeCell ref="E65:I65"/>
    <mergeCell ref="B57:D57"/>
    <mergeCell ref="B59:I59"/>
    <mergeCell ref="B66:D66"/>
    <mergeCell ref="B30:I30"/>
    <mergeCell ref="E51:I51"/>
    <mergeCell ref="B39:I39"/>
    <mergeCell ref="D19:F19"/>
    <mergeCell ref="B6:I6"/>
    <mergeCell ref="B20:I20"/>
    <mergeCell ref="B54:D54"/>
    <mergeCell ref="E76:I76"/>
    <mergeCell ref="B65:D65"/>
    <mergeCell ref="B40:I40"/>
    <mergeCell ref="B52:D52"/>
    <mergeCell ref="E47:I47"/>
    <mergeCell ref="B93:D93"/>
    <mergeCell ref="B26:I26"/>
    <mergeCell ref="B79:D79"/>
    <mergeCell ref="B34:I34"/>
    <mergeCell ref="B69:D69"/>
    <mergeCell ref="B63:D63"/>
    <mergeCell ref="E64:I64"/>
    <mergeCell ref="E73:I73"/>
    <mergeCell ref="B91:D91"/>
    <mergeCell ref="E92:I92"/>
    <mergeCell ref="B83:D83"/>
    <mergeCell ref="B92:D92"/>
    <mergeCell ref="E78:I78"/>
    <mergeCell ref="E93:I93"/>
    <mergeCell ref="E87:I87"/>
    <mergeCell ref="B73:D73"/>
    <mergeCell ref="B82:I82"/>
    <mergeCell ref="E77:I77"/>
    <mergeCell ref="B86:D86"/>
    <mergeCell ref="B62:D62"/>
    <mergeCell ref="E70:I70"/>
    <mergeCell ref="B5:I5"/>
    <mergeCell ref="B72:D72"/>
    <mergeCell ref="B45:D45"/>
    <mergeCell ref="E52:I52"/>
    <mergeCell ref="E44:I44"/>
    <mergeCell ref="B61:I61"/>
    <mergeCell ref="B90:D90"/>
    <mergeCell ref="B84:D84"/>
    <mergeCell ref="E85:I85"/>
    <mergeCell ref="E46:I46"/>
    <mergeCell ref="B76:D76"/>
    <mergeCell ref="B70:D70"/>
    <mergeCell ref="B85:D85"/>
    <mergeCell ref="E71:I71"/>
    <mergeCell ref="E86:I86"/>
    <mergeCell ref="E80:I80"/>
    <mergeCell ref="B78:D78"/>
    <mergeCell ref="B47:D47"/>
    <mergeCell ref="E79:I79"/>
    <mergeCell ref="B87:D87"/>
    <mergeCell ref="E48:I48"/>
    <mergeCell ref="B89:I89"/>
    <mergeCell ref="B77:D77"/>
    <mergeCell ref="E63:I63"/>
    <mergeCell ref="B94:D94"/>
    <mergeCell ref="E42:I42"/>
    <mergeCell ref="B17:I17"/>
    <mergeCell ref="B75:I75"/>
    <mergeCell ref="E91:I91"/>
    <mergeCell ref="B64:D64"/>
    <mergeCell ref="B56:D56"/>
    <mergeCell ref="E83:I83"/>
    <mergeCell ref="E94:I94"/>
    <mergeCell ref="B49:D49"/>
    <mergeCell ref="E72:I72"/>
    <mergeCell ref="B48:D48"/>
    <mergeCell ref="E56:I56"/>
    <mergeCell ref="E43:I43"/>
    <mergeCell ref="E49:I49"/>
    <mergeCell ref="B50:D50"/>
    <mergeCell ref="E58:I58"/>
    <mergeCell ref="E45:I45"/>
    <mergeCell ref="B68:I68"/>
    <mergeCell ref="B80:D80"/>
    <mergeCell ref="E90:I90"/>
    <mergeCell ref="E84:I84"/>
    <mergeCell ref="B51:D51"/>
    <mergeCell ref="B44:D44"/>
    <mergeCell ref="E57:I57"/>
    <mergeCell ref="E54:I54"/>
    <mergeCell ref="E69:I69"/>
    <mergeCell ref="B46:D46"/>
    <mergeCell ref="B55:D55"/>
    <mergeCell ref="E41:I41"/>
    <mergeCell ref="E50:I50"/>
    <mergeCell ref="E62:I62"/>
    <mergeCell ref="B53:D53"/>
    <mergeCell ref="B43:D4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I94"/>
  <sheetViews>
    <sheetView showGridLines="0" zoomScaleNormal="100" workbookViewId="0">
      <selection activeCell="B9" sqref="B9"/>
    </sheetView>
  </sheetViews>
  <sheetFormatPr defaultColWidth="8.54296875" defaultRowHeight="14.5" x14ac:dyDescent="0.35"/>
  <cols>
    <col min="1" max="1" width="3" customWidth="1"/>
    <col min="2" max="2" width="12" customWidth="1"/>
    <col min="3" max="3" width="6" customWidth="1"/>
    <col min="4" max="4" width="16.7265625" bestFit="1" customWidth="1"/>
    <col min="5" max="5" width="90.6328125" bestFit="1" customWidth="1"/>
    <col min="6" max="6" width="45.7265625" bestFit="1" customWidth="1"/>
    <col min="7" max="7" width="13.1796875" bestFit="1" customWidth="1"/>
    <col min="8" max="8" width="94.81640625" bestFit="1" customWidth="1"/>
    <col min="9" max="9" width="58.26953125" bestFit="1" customWidth="1"/>
  </cols>
  <sheetData>
    <row r="1" spans="2:9" ht="13.5" customHeight="1" x14ac:dyDescent="0.35"/>
    <row r="2" spans="2:9" ht="33.75" customHeight="1" x14ac:dyDescent="0.35">
      <c r="B2" s="33" t="s">
        <v>576</v>
      </c>
      <c r="C2" s="18"/>
      <c r="D2" s="18"/>
      <c r="E2" s="18"/>
      <c r="F2" s="18"/>
      <c r="G2" s="18"/>
      <c r="H2" s="18"/>
      <c r="I2" s="19"/>
    </row>
    <row r="3" spans="2:9" ht="15.75" customHeight="1" x14ac:dyDescent="0.35">
      <c r="B3" s="32" t="s">
        <v>1</v>
      </c>
      <c r="C3" s="21"/>
      <c r="D3" s="21"/>
      <c r="E3" s="21"/>
      <c r="F3" s="21"/>
      <c r="G3" s="21"/>
      <c r="H3" s="21"/>
      <c r="I3" s="21"/>
    </row>
    <row r="5" spans="2:9" ht="21.75" customHeight="1" x14ac:dyDescent="0.35">
      <c r="B5" s="28" t="s">
        <v>2</v>
      </c>
      <c r="C5" s="18"/>
      <c r="D5" s="18"/>
      <c r="E5" s="18"/>
      <c r="F5" s="18"/>
      <c r="G5" s="18"/>
      <c r="H5" s="18"/>
      <c r="I5" s="19"/>
    </row>
    <row r="6" spans="2:9" ht="13.5" customHeight="1" x14ac:dyDescent="0.35">
      <c r="B6" s="29" t="s">
        <v>3</v>
      </c>
      <c r="C6" s="21"/>
      <c r="D6" s="21"/>
      <c r="E6" s="21"/>
      <c r="F6" s="21"/>
      <c r="G6" s="21"/>
      <c r="H6" s="21"/>
      <c r="I6" s="21"/>
    </row>
    <row r="7" spans="2:9" ht="19.5" customHeight="1" x14ac:dyDescent="0.35">
      <c r="B7" s="5" t="s">
        <v>4</v>
      </c>
      <c r="C7" s="5" t="s">
        <v>5</v>
      </c>
      <c r="D7" s="5" t="s">
        <v>6</v>
      </c>
      <c r="E7" s="5" t="s">
        <v>7</v>
      </c>
      <c r="F7" s="5" t="s">
        <v>8</v>
      </c>
      <c r="G7" s="5" t="s">
        <v>9</v>
      </c>
      <c r="H7" s="5" t="s">
        <v>10</v>
      </c>
      <c r="I7" s="5" t="s">
        <v>11</v>
      </c>
    </row>
    <row r="8" spans="2:9" ht="18" customHeight="1" x14ac:dyDescent="0.35">
      <c r="B8" s="9" t="s">
        <v>12</v>
      </c>
      <c r="C8" s="4" t="s">
        <v>13</v>
      </c>
      <c r="D8" s="4" t="s">
        <v>577</v>
      </c>
      <c r="E8" s="4" t="s">
        <v>580</v>
      </c>
      <c r="F8" s="4" t="s">
        <v>582</v>
      </c>
      <c r="G8" s="9" t="s">
        <v>17</v>
      </c>
      <c r="H8" s="4" t="s">
        <v>594</v>
      </c>
      <c r="I8" s="4" t="s">
        <v>597</v>
      </c>
    </row>
    <row r="9" spans="2:9" ht="18" customHeight="1" x14ac:dyDescent="0.35">
      <c r="B9" s="4" t="s">
        <v>12</v>
      </c>
      <c r="C9" s="4" t="s">
        <v>20</v>
      </c>
      <c r="D9" s="4" t="s">
        <v>578</v>
      </c>
      <c r="E9" s="4" t="s">
        <v>581</v>
      </c>
      <c r="F9" s="9" t="s">
        <v>583</v>
      </c>
      <c r="G9" s="9" t="s">
        <v>17</v>
      </c>
      <c r="H9" s="4" t="s">
        <v>595</v>
      </c>
      <c r="I9" s="4" t="s">
        <v>598</v>
      </c>
    </row>
    <row r="10" spans="2:9" ht="18" customHeight="1" x14ac:dyDescent="0.35">
      <c r="B10" s="4" t="s">
        <v>12</v>
      </c>
      <c r="C10" s="4" t="s">
        <v>37</v>
      </c>
      <c r="D10" s="4" t="s">
        <v>577</v>
      </c>
      <c r="E10" s="4" t="s">
        <v>584</v>
      </c>
      <c r="F10" s="9" t="s">
        <v>585</v>
      </c>
      <c r="G10" s="9" t="s">
        <v>17</v>
      </c>
      <c r="H10" s="4" t="s">
        <v>596</v>
      </c>
      <c r="I10" s="4" t="s">
        <v>599</v>
      </c>
    </row>
    <row r="11" spans="2:9" ht="18" customHeight="1" x14ac:dyDescent="0.35">
      <c r="B11" s="4" t="s">
        <v>12</v>
      </c>
      <c r="C11" s="4" t="s">
        <v>31</v>
      </c>
      <c r="D11" s="4" t="s">
        <v>577</v>
      </c>
      <c r="E11" s="9" t="s">
        <v>586</v>
      </c>
      <c r="F11" s="9" t="s">
        <v>590</v>
      </c>
      <c r="G11" s="4" t="s">
        <v>23</v>
      </c>
      <c r="H11" s="4" t="s">
        <v>600</v>
      </c>
      <c r="I11" s="4" t="s">
        <v>607</v>
      </c>
    </row>
    <row r="12" spans="2:9" ht="18" customHeight="1" x14ac:dyDescent="0.35">
      <c r="B12" s="4" t="s">
        <v>12</v>
      </c>
      <c r="C12" s="4" t="s">
        <v>26</v>
      </c>
      <c r="D12" s="4" t="s">
        <v>577</v>
      </c>
      <c r="E12" s="9" t="s">
        <v>587</v>
      </c>
      <c r="F12" s="9" t="s">
        <v>591</v>
      </c>
      <c r="G12" s="4" t="s">
        <v>23</v>
      </c>
      <c r="H12" s="4" t="s">
        <v>601</v>
      </c>
      <c r="I12" s="4" t="s">
        <v>606</v>
      </c>
    </row>
    <row r="13" spans="2:9" ht="18" customHeight="1" x14ac:dyDescent="0.35">
      <c r="B13" s="4" t="s">
        <v>12</v>
      </c>
      <c r="C13" s="4" t="s">
        <v>26</v>
      </c>
      <c r="D13" s="4" t="s">
        <v>14</v>
      </c>
      <c r="E13" s="9" t="s">
        <v>588</v>
      </c>
      <c r="F13" s="9" t="s">
        <v>592</v>
      </c>
      <c r="G13" s="4" t="s">
        <v>23</v>
      </c>
      <c r="H13" s="4" t="s">
        <v>602</v>
      </c>
      <c r="I13" s="4" t="s">
        <v>605</v>
      </c>
    </row>
    <row r="14" spans="2:9" ht="18" customHeight="1" x14ac:dyDescent="0.35">
      <c r="B14" s="4" t="s">
        <v>12</v>
      </c>
      <c r="C14" s="4" t="s">
        <v>31</v>
      </c>
      <c r="D14" s="4" t="s">
        <v>579</v>
      </c>
      <c r="E14" s="9" t="s">
        <v>589</v>
      </c>
      <c r="F14" s="9" t="s">
        <v>593</v>
      </c>
      <c r="G14" s="4" t="s">
        <v>23</v>
      </c>
      <c r="H14" s="4" t="s">
        <v>603</v>
      </c>
      <c r="I14" s="4" t="s">
        <v>604</v>
      </c>
    </row>
    <row r="15" spans="2:9" ht="18" customHeight="1" x14ac:dyDescent="0.35">
      <c r="B15" s="4" t="s">
        <v>12</v>
      </c>
      <c r="C15" s="4" t="s">
        <v>37</v>
      </c>
      <c r="D15" s="4" t="s">
        <v>579</v>
      </c>
      <c r="E15" s="4"/>
      <c r="F15" s="4"/>
      <c r="G15" s="4"/>
      <c r="H15" s="4"/>
      <c r="I15" s="4"/>
    </row>
    <row r="17" spans="2:9" ht="21.75" customHeight="1" x14ac:dyDescent="0.35">
      <c r="B17" s="26" t="s">
        <v>55</v>
      </c>
      <c r="C17" s="18"/>
      <c r="D17" s="18"/>
      <c r="E17" s="18"/>
      <c r="F17" s="18"/>
      <c r="G17" s="18"/>
      <c r="H17" s="18"/>
      <c r="I17" s="19"/>
    </row>
    <row r="18" spans="2:9" ht="13.5" customHeight="1" x14ac:dyDescent="0.35">
      <c r="B18" s="29" t="s">
        <v>56</v>
      </c>
      <c r="C18" s="21"/>
      <c r="D18" s="21"/>
      <c r="E18" s="21"/>
      <c r="F18" s="21"/>
      <c r="G18" s="21"/>
      <c r="H18" s="21"/>
      <c r="I18" s="21"/>
    </row>
    <row r="19" spans="2:9" ht="19.5" customHeight="1" x14ac:dyDescent="0.35">
      <c r="B19" s="2" t="s">
        <v>57</v>
      </c>
      <c r="C19" s="2" t="s">
        <v>5</v>
      </c>
      <c r="D19" s="34" t="s">
        <v>58</v>
      </c>
      <c r="E19" s="18"/>
      <c r="F19" s="19"/>
      <c r="G19" s="34" t="s">
        <v>59</v>
      </c>
      <c r="H19" s="19"/>
      <c r="I19" s="2" t="s">
        <v>60</v>
      </c>
    </row>
    <row r="20" spans="2:9" ht="15.75" customHeight="1" x14ac:dyDescent="0.35">
      <c r="B20" s="30" t="s">
        <v>61</v>
      </c>
      <c r="C20" s="18"/>
      <c r="D20" s="18"/>
      <c r="E20" s="18"/>
      <c r="F20" s="18"/>
      <c r="G20" s="18"/>
      <c r="H20" s="18"/>
      <c r="I20" s="19"/>
    </row>
    <row r="21" spans="2:9" ht="18" customHeight="1" x14ac:dyDescent="0.35">
      <c r="B21" s="4"/>
      <c r="C21" s="4" t="s">
        <v>13</v>
      </c>
      <c r="D21" s="4"/>
      <c r="E21" s="4" t="s">
        <v>608</v>
      </c>
      <c r="F21" s="4"/>
      <c r="G21" s="4"/>
      <c r="H21" s="4" t="s">
        <v>611</v>
      </c>
      <c r="I21" s="4" t="s">
        <v>614</v>
      </c>
    </row>
    <row r="22" spans="2:9" ht="18" customHeight="1" x14ac:dyDescent="0.35">
      <c r="B22" s="4"/>
      <c r="C22" s="4" t="s">
        <v>20</v>
      </c>
      <c r="D22" s="4"/>
      <c r="E22" s="4" t="s">
        <v>609</v>
      </c>
      <c r="F22" s="4"/>
      <c r="G22" s="4"/>
      <c r="H22" s="4" t="s">
        <v>612</v>
      </c>
      <c r="I22" s="4" t="s">
        <v>615</v>
      </c>
    </row>
    <row r="23" spans="2:9" ht="18" customHeight="1" x14ac:dyDescent="0.35">
      <c r="B23" s="4"/>
      <c r="C23" s="4" t="s">
        <v>26</v>
      </c>
      <c r="D23" s="4"/>
      <c r="E23" s="4" t="s">
        <v>610</v>
      </c>
      <c r="F23" s="4"/>
      <c r="G23" s="4"/>
      <c r="H23" s="4" t="s">
        <v>613</v>
      </c>
      <c r="I23" s="4" t="s">
        <v>616</v>
      </c>
    </row>
    <row r="24" spans="2:9" ht="15.75" customHeight="1" x14ac:dyDescent="0.35">
      <c r="B24" s="30" t="s">
        <v>70</v>
      </c>
      <c r="C24" s="18"/>
      <c r="D24" s="18"/>
      <c r="E24" s="18"/>
      <c r="F24" s="18"/>
      <c r="G24" s="18"/>
      <c r="H24" s="18"/>
      <c r="I24" s="19"/>
    </row>
    <row r="25" spans="2:9" ht="18" customHeight="1" x14ac:dyDescent="0.35">
      <c r="B25" s="4"/>
      <c r="C25" s="4" t="s">
        <v>31</v>
      </c>
      <c r="D25" s="4"/>
      <c r="E25" s="4" t="s">
        <v>617</v>
      </c>
      <c r="F25" s="4"/>
      <c r="G25" s="4"/>
      <c r="H25" s="9" t="s">
        <v>585</v>
      </c>
      <c r="I25" s="9" t="s">
        <v>622</v>
      </c>
    </row>
    <row r="26" spans="2:9" ht="18" customHeight="1" x14ac:dyDescent="0.35">
      <c r="B26" s="4"/>
      <c r="C26" s="4" t="s">
        <v>37</v>
      </c>
      <c r="D26" s="4"/>
      <c r="E26" s="4" t="s">
        <v>618</v>
      </c>
      <c r="F26" s="4"/>
      <c r="G26" s="4"/>
      <c r="H26" s="9" t="s">
        <v>620</v>
      </c>
      <c r="I26" s="9" t="s">
        <v>623</v>
      </c>
    </row>
    <row r="27" spans="2:9" ht="18" customHeight="1" x14ac:dyDescent="0.35">
      <c r="B27" s="4"/>
      <c r="C27" s="4" t="s">
        <v>20</v>
      </c>
      <c r="D27" s="4"/>
      <c r="E27" s="4" t="s">
        <v>619</v>
      </c>
      <c r="F27" s="4"/>
      <c r="G27" s="4"/>
      <c r="H27" s="9" t="s">
        <v>621</v>
      </c>
      <c r="I27" s="9" t="s">
        <v>624</v>
      </c>
    </row>
    <row r="28" spans="2:9" ht="15.75" customHeight="1" x14ac:dyDescent="0.35">
      <c r="B28" s="30" t="s">
        <v>77</v>
      </c>
      <c r="C28" s="18"/>
      <c r="D28" s="18"/>
      <c r="E28" s="18"/>
      <c r="F28" s="18"/>
      <c r="G28" s="18"/>
      <c r="H28" s="18"/>
      <c r="I28" s="19"/>
    </row>
    <row r="29" spans="2:9" ht="18" customHeight="1" x14ac:dyDescent="0.35">
      <c r="B29" s="4"/>
      <c r="C29" s="9" t="s">
        <v>31</v>
      </c>
      <c r="D29" s="4"/>
      <c r="E29" s="9" t="s">
        <v>625</v>
      </c>
      <c r="F29" s="4"/>
      <c r="G29" s="4"/>
      <c r="H29" s="9" t="s">
        <v>591</v>
      </c>
      <c r="I29" s="9" t="s">
        <v>628</v>
      </c>
    </row>
    <row r="30" spans="2:9" ht="18" customHeight="1" x14ac:dyDescent="0.35">
      <c r="B30" s="4"/>
      <c r="C30" s="9" t="s">
        <v>26</v>
      </c>
      <c r="D30" s="4"/>
      <c r="E30" s="9" t="s">
        <v>626</v>
      </c>
      <c r="F30" s="4"/>
      <c r="G30" s="4"/>
      <c r="H30" s="9" t="s">
        <v>627</v>
      </c>
      <c r="I30" s="9" t="s">
        <v>629</v>
      </c>
    </row>
    <row r="31" spans="2:9" ht="18" customHeight="1" x14ac:dyDescent="0.35">
      <c r="B31" s="4"/>
      <c r="C31" s="4"/>
      <c r="D31" s="4"/>
      <c r="E31" s="4"/>
      <c r="F31" s="4"/>
      <c r="G31" s="4"/>
      <c r="H31" s="4"/>
      <c r="I31" s="4"/>
    </row>
    <row r="32" spans="2:9" ht="15.75" customHeight="1" x14ac:dyDescent="0.35">
      <c r="B32" s="30" t="s">
        <v>85</v>
      </c>
      <c r="C32" s="18"/>
      <c r="D32" s="18"/>
      <c r="E32" s="18"/>
      <c r="F32" s="18"/>
      <c r="G32" s="18"/>
      <c r="H32" s="18"/>
      <c r="I32" s="19"/>
    </row>
    <row r="33" spans="2:9" ht="18" customHeight="1" x14ac:dyDescent="0.35">
      <c r="B33" s="4"/>
      <c r="C33" s="9" t="s">
        <v>20</v>
      </c>
      <c r="D33" s="4"/>
      <c r="E33" s="9" t="s">
        <v>630</v>
      </c>
      <c r="F33" s="4"/>
      <c r="G33" s="4"/>
      <c r="H33" s="9" t="s">
        <v>627</v>
      </c>
      <c r="I33" s="9" t="s">
        <v>631</v>
      </c>
    </row>
    <row r="34" spans="2:9" ht="18" customHeight="1" x14ac:dyDescent="0.35">
      <c r="B34" s="4"/>
      <c r="C34" s="4"/>
      <c r="D34" s="4"/>
      <c r="E34" s="4"/>
      <c r="F34" s="4"/>
      <c r="G34" s="4"/>
      <c r="H34" s="4"/>
      <c r="I34" s="4"/>
    </row>
    <row r="35" spans="2:9" ht="18" customHeight="1" x14ac:dyDescent="0.35">
      <c r="B35" s="4"/>
      <c r="C35" s="4"/>
      <c r="D35" s="4"/>
      <c r="E35" s="4"/>
      <c r="F35" s="4"/>
      <c r="G35" s="4"/>
      <c r="H35" s="4"/>
      <c r="I35" s="4"/>
    </row>
    <row r="37" spans="2:9" ht="21.75" customHeight="1" x14ac:dyDescent="0.35">
      <c r="B37" s="36" t="s">
        <v>90</v>
      </c>
      <c r="C37" s="18"/>
      <c r="D37" s="18"/>
      <c r="E37" s="18"/>
      <c r="F37" s="18"/>
      <c r="G37" s="18"/>
      <c r="H37" s="18"/>
      <c r="I37" s="19"/>
    </row>
    <row r="38" spans="2:9" ht="13.5" customHeight="1" x14ac:dyDescent="0.35">
      <c r="B38" s="29" t="s">
        <v>91</v>
      </c>
      <c r="C38" s="21"/>
      <c r="D38" s="21"/>
      <c r="E38" s="21"/>
      <c r="F38" s="21"/>
      <c r="G38" s="21"/>
      <c r="H38" s="21"/>
      <c r="I38" s="21"/>
    </row>
    <row r="39" spans="2:9" ht="19.5" customHeight="1" x14ac:dyDescent="0.35">
      <c r="B39" s="1" t="s">
        <v>92</v>
      </c>
      <c r="C39" s="1" t="s">
        <v>93</v>
      </c>
      <c r="D39" s="1" t="s">
        <v>94</v>
      </c>
      <c r="E39" s="24" t="s">
        <v>95</v>
      </c>
      <c r="F39" s="18"/>
      <c r="G39" s="18"/>
      <c r="H39" s="18"/>
      <c r="I39" s="19"/>
    </row>
    <row r="40" spans="2:9" ht="21.75" customHeight="1" x14ac:dyDescent="0.35">
      <c r="B40" s="22" t="s">
        <v>96</v>
      </c>
      <c r="C40" s="18"/>
      <c r="D40" s="19"/>
      <c r="E40" s="70" t="s">
        <v>632</v>
      </c>
      <c r="F40" s="18"/>
      <c r="G40" s="18"/>
      <c r="H40" s="18"/>
      <c r="I40" s="19"/>
    </row>
    <row r="41" spans="2:9" ht="45" customHeight="1" x14ac:dyDescent="0.35">
      <c r="B41" s="23" t="s">
        <v>98</v>
      </c>
      <c r="C41" s="18"/>
      <c r="D41" s="19"/>
      <c r="E41" s="70" t="s">
        <v>633</v>
      </c>
      <c r="F41" s="18"/>
      <c r="G41" s="18"/>
      <c r="H41" s="18"/>
      <c r="I41" s="19"/>
    </row>
    <row r="42" spans="2:9" ht="46.5" customHeight="1" x14ac:dyDescent="0.35">
      <c r="B42" s="68" t="s">
        <v>100</v>
      </c>
      <c r="C42" s="18"/>
      <c r="D42" s="19"/>
      <c r="E42" s="70" t="s">
        <v>634</v>
      </c>
      <c r="F42" s="18"/>
      <c r="G42" s="18"/>
      <c r="H42" s="18"/>
      <c r="I42" s="19"/>
    </row>
    <row r="43" spans="2:9" ht="21.75" customHeight="1" x14ac:dyDescent="0.35">
      <c r="B43" s="23" t="s">
        <v>102</v>
      </c>
      <c r="C43" s="18"/>
      <c r="D43" s="19"/>
      <c r="E43" s="70" t="s">
        <v>635</v>
      </c>
      <c r="F43" s="18"/>
      <c r="G43" s="18"/>
      <c r="H43" s="18"/>
      <c r="I43" s="19"/>
    </row>
    <row r="44" spans="2:9" ht="21.75" customHeight="1" x14ac:dyDescent="0.35">
      <c r="B44" s="22" t="s">
        <v>104</v>
      </c>
      <c r="C44" s="18"/>
      <c r="D44" s="19"/>
      <c r="E44" s="70" t="s">
        <v>636</v>
      </c>
      <c r="F44" s="18"/>
      <c r="G44" s="18"/>
      <c r="H44" s="18"/>
      <c r="I44" s="19"/>
    </row>
    <row r="45" spans="2:9" ht="31.5" customHeight="1" x14ac:dyDescent="0.35">
      <c r="B45" s="68" t="s">
        <v>98</v>
      </c>
      <c r="C45" s="18"/>
      <c r="D45" s="19"/>
      <c r="E45" s="70" t="s">
        <v>637</v>
      </c>
      <c r="F45" s="18"/>
      <c r="G45" s="18"/>
      <c r="H45" s="18"/>
      <c r="I45" s="19"/>
    </row>
    <row r="46" spans="2:9" ht="21.75" customHeight="1" x14ac:dyDescent="0.35">
      <c r="B46" s="23" t="s">
        <v>100</v>
      </c>
      <c r="C46" s="18"/>
      <c r="D46" s="19"/>
      <c r="E46" s="70" t="s">
        <v>638</v>
      </c>
      <c r="F46" s="18"/>
      <c r="G46" s="18"/>
      <c r="H46" s="18"/>
      <c r="I46" s="19"/>
    </row>
    <row r="47" spans="2:9" ht="21.75" customHeight="1" x14ac:dyDescent="0.35">
      <c r="B47" s="23" t="s">
        <v>102</v>
      </c>
      <c r="C47" s="18"/>
      <c r="D47" s="19"/>
      <c r="E47" s="70" t="s">
        <v>639</v>
      </c>
      <c r="F47" s="18"/>
      <c r="G47" s="18"/>
      <c r="H47" s="18"/>
      <c r="I47" s="19"/>
    </row>
    <row r="48" spans="2:9" ht="21.75" customHeight="1" x14ac:dyDescent="0.35">
      <c r="B48" s="22" t="s">
        <v>109</v>
      </c>
      <c r="C48" s="18"/>
      <c r="D48" s="19"/>
      <c r="E48" s="70" t="s">
        <v>640</v>
      </c>
      <c r="F48" s="18"/>
      <c r="G48" s="18"/>
      <c r="H48" s="18"/>
      <c r="I48" s="19"/>
    </row>
    <row r="49" spans="2:9" ht="34" customHeight="1" x14ac:dyDescent="0.35">
      <c r="B49" s="68" t="s">
        <v>98</v>
      </c>
      <c r="C49" s="18"/>
      <c r="D49" s="19"/>
      <c r="E49" s="70" t="s">
        <v>641</v>
      </c>
      <c r="F49" s="18"/>
      <c r="G49" s="18"/>
      <c r="H49" s="18"/>
      <c r="I49" s="19"/>
    </row>
    <row r="50" spans="2:9" ht="36" customHeight="1" x14ac:dyDescent="0.35">
      <c r="B50" s="23" t="s">
        <v>100</v>
      </c>
      <c r="C50" s="18"/>
      <c r="D50" s="19"/>
      <c r="E50" s="70" t="s">
        <v>642</v>
      </c>
      <c r="F50" s="18"/>
      <c r="G50" s="18"/>
      <c r="H50" s="18"/>
      <c r="I50" s="19"/>
    </row>
    <row r="51" spans="2:9" ht="21.75" customHeight="1" x14ac:dyDescent="0.35">
      <c r="B51" s="68" t="s">
        <v>102</v>
      </c>
      <c r="C51" s="18"/>
      <c r="D51" s="19"/>
      <c r="E51" s="70" t="s">
        <v>643</v>
      </c>
      <c r="F51" s="18"/>
      <c r="G51" s="18"/>
      <c r="H51" s="18"/>
      <c r="I51" s="19"/>
    </row>
    <row r="52" spans="2:9" ht="21.75" customHeight="1" x14ac:dyDescent="0.35">
      <c r="B52" s="22" t="s">
        <v>114</v>
      </c>
      <c r="C52" s="18"/>
      <c r="D52" s="19"/>
      <c r="E52" s="70" t="s">
        <v>644</v>
      </c>
      <c r="F52" s="18"/>
      <c r="G52" s="18"/>
      <c r="H52" s="18"/>
      <c r="I52" s="19"/>
    </row>
    <row r="53" spans="2:9" ht="33.5" customHeight="1" x14ac:dyDescent="0.35">
      <c r="B53" s="23" t="s">
        <v>98</v>
      </c>
      <c r="C53" s="18"/>
      <c r="D53" s="19"/>
      <c r="E53" s="70" t="s">
        <v>645</v>
      </c>
      <c r="F53" s="18"/>
      <c r="G53" s="18"/>
      <c r="H53" s="18"/>
      <c r="I53" s="19"/>
    </row>
    <row r="54" spans="2:9" ht="21.75" customHeight="1" x14ac:dyDescent="0.35">
      <c r="B54" s="23" t="s">
        <v>100</v>
      </c>
      <c r="C54" s="18"/>
      <c r="D54" s="19"/>
      <c r="E54" s="70" t="s">
        <v>646</v>
      </c>
      <c r="F54" s="18"/>
      <c r="G54" s="18"/>
      <c r="H54" s="18"/>
      <c r="I54" s="19"/>
    </row>
    <row r="55" spans="2:9" ht="21.75" customHeight="1" x14ac:dyDescent="0.35">
      <c r="B55" s="68" t="s">
        <v>102</v>
      </c>
      <c r="C55" s="18"/>
      <c r="D55" s="19"/>
      <c r="E55" s="70" t="s">
        <v>647</v>
      </c>
      <c r="F55" s="18"/>
      <c r="G55" s="18"/>
      <c r="H55" s="18"/>
      <c r="I55" s="19"/>
    </row>
    <row r="56" spans="2:9" x14ac:dyDescent="0.35">
      <c r="E56" s="17"/>
      <c r="F56" s="18"/>
      <c r="G56" s="18"/>
      <c r="H56" s="18"/>
      <c r="I56" s="19"/>
    </row>
    <row r="57" spans="2:9" ht="21.75" customHeight="1" x14ac:dyDescent="0.35">
      <c r="B57" s="35" t="s">
        <v>119</v>
      </c>
      <c r="C57" s="18"/>
      <c r="D57" s="18"/>
      <c r="E57" s="18"/>
      <c r="F57" s="18"/>
      <c r="G57" s="18"/>
      <c r="H57" s="18"/>
      <c r="I57" s="19"/>
    </row>
    <row r="58" spans="2:9" ht="13.5" customHeight="1" x14ac:dyDescent="0.35">
      <c r="B58" s="29" t="s">
        <v>120</v>
      </c>
      <c r="C58" s="21"/>
      <c r="D58" s="21"/>
      <c r="E58" s="21"/>
      <c r="F58" s="21"/>
      <c r="G58" s="21"/>
      <c r="H58" s="21"/>
      <c r="I58" s="21"/>
    </row>
    <row r="59" spans="2:9" ht="18" customHeight="1" x14ac:dyDescent="0.35">
      <c r="B59" s="27" t="s">
        <v>121</v>
      </c>
      <c r="C59" s="18"/>
      <c r="D59" s="18"/>
      <c r="E59" s="18"/>
      <c r="F59" s="18"/>
      <c r="G59" s="18"/>
      <c r="H59" s="18"/>
      <c r="I59" s="19"/>
    </row>
    <row r="60" spans="2:9" ht="18" customHeight="1" x14ac:dyDescent="0.35">
      <c r="B60" s="25" t="s">
        <v>122</v>
      </c>
      <c r="C60" s="18"/>
      <c r="D60" s="19"/>
      <c r="E60" s="71" t="s">
        <v>648</v>
      </c>
      <c r="F60" s="21"/>
      <c r="G60" s="21"/>
      <c r="H60" s="21"/>
      <c r="I60" s="21"/>
    </row>
    <row r="61" spans="2:9" ht="18" customHeight="1" x14ac:dyDescent="0.35">
      <c r="B61" s="25" t="s">
        <v>124</v>
      </c>
      <c r="C61" s="18"/>
      <c r="D61" s="19"/>
      <c r="E61" s="71" t="s">
        <v>649</v>
      </c>
      <c r="F61" s="21"/>
      <c r="G61" s="21"/>
      <c r="H61" s="21"/>
      <c r="I61" s="21"/>
    </row>
    <row r="62" spans="2:9" ht="41" customHeight="1" x14ac:dyDescent="0.35">
      <c r="B62" s="25" t="s">
        <v>126</v>
      </c>
      <c r="C62" s="18"/>
      <c r="D62" s="19"/>
      <c r="E62" s="71" t="s">
        <v>650</v>
      </c>
      <c r="F62" s="21"/>
      <c r="G62" s="21"/>
      <c r="H62" s="21"/>
      <c r="I62" s="21"/>
    </row>
    <row r="63" spans="2:9" ht="18" customHeight="1" x14ac:dyDescent="0.35">
      <c r="B63" s="72" t="s">
        <v>128</v>
      </c>
      <c r="C63" s="18"/>
      <c r="D63" s="19"/>
      <c r="E63" s="71" t="s">
        <v>651</v>
      </c>
      <c r="F63" s="21"/>
      <c r="G63" s="21"/>
      <c r="H63" s="21"/>
      <c r="I63" s="21"/>
    </row>
    <row r="64" spans="2:9" ht="18" customHeight="1" x14ac:dyDescent="0.35">
      <c r="B64" s="25" t="s">
        <v>130</v>
      </c>
      <c r="C64" s="18"/>
      <c r="D64" s="19"/>
      <c r="E64" s="71" t="s">
        <v>652</v>
      </c>
      <c r="F64" s="21"/>
      <c r="G64" s="21"/>
      <c r="H64" s="21"/>
      <c r="I64" s="21"/>
    </row>
    <row r="66" spans="2:9" ht="18" customHeight="1" x14ac:dyDescent="0.35">
      <c r="B66" s="73" t="s">
        <v>132</v>
      </c>
      <c r="C66" s="18"/>
      <c r="D66" s="18"/>
      <c r="E66" s="18"/>
      <c r="F66" s="18"/>
      <c r="G66" s="18"/>
      <c r="H66" s="18"/>
      <c r="I66" s="19"/>
    </row>
    <row r="67" spans="2:9" ht="30" customHeight="1" x14ac:dyDescent="0.35">
      <c r="B67" s="25" t="s">
        <v>122</v>
      </c>
      <c r="C67" s="18"/>
      <c r="D67" s="19"/>
      <c r="E67" s="71" t="s">
        <v>653</v>
      </c>
      <c r="F67" s="21"/>
      <c r="G67" s="21"/>
      <c r="H67" s="21"/>
      <c r="I67" s="21"/>
    </row>
    <row r="68" spans="2:9" ht="18" customHeight="1" x14ac:dyDescent="0.35">
      <c r="B68" s="72" t="s">
        <v>124</v>
      </c>
      <c r="C68" s="18"/>
      <c r="D68" s="19"/>
      <c r="E68" s="71" t="s">
        <v>654</v>
      </c>
      <c r="F68" s="21"/>
      <c r="G68" s="21"/>
      <c r="H68" s="21"/>
      <c r="I68" s="21"/>
    </row>
    <row r="69" spans="2:9" ht="30" customHeight="1" x14ac:dyDescent="0.35">
      <c r="B69" s="72" t="s">
        <v>126</v>
      </c>
      <c r="C69" s="18"/>
      <c r="D69" s="19"/>
      <c r="E69" s="71" t="s">
        <v>655</v>
      </c>
      <c r="F69" s="21"/>
      <c r="G69" s="21"/>
      <c r="H69" s="21"/>
      <c r="I69" s="21"/>
    </row>
    <row r="70" spans="2:9" ht="18" customHeight="1" x14ac:dyDescent="0.35">
      <c r="B70" s="25" t="s">
        <v>128</v>
      </c>
      <c r="C70" s="18"/>
      <c r="D70" s="19"/>
      <c r="E70" s="71" t="s">
        <v>656</v>
      </c>
      <c r="F70" s="21"/>
      <c r="G70" s="21"/>
      <c r="H70" s="21"/>
      <c r="I70" s="21"/>
    </row>
    <row r="71" spans="2:9" ht="18" customHeight="1" x14ac:dyDescent="0.35">
      <c r="B71" s="25" t="s">
        <v>130</v>
      </c>
      <c r="C71" s="18"/>
      <c r="D71" s="19"/>
      <c r="E71" s="71" t="s">
        <v>657</v>
      </c>
      <c r="F71" s="21"/>
      <c r="G71" s="21"/>
      <c r="H71" s="21"/>
      <c r="I71" s="21"/>
    </row>
    <row r="73" spans="2:9" ht="18" customHeight="1" x14ac:dyDescent="0.35">
      <c r="B73" s="73" t="s">
        <v>138</v>
      </c>
      <c r="C73" s="18"/>
      <c r="D73" s="18"/>
      <c r="E73" s="18"/>
      <c r="F73" s="18"/>
      <c r="G73" s="18"/>
      <c r="H73" s="18"/>
      <c r="I73" s="19"/>
    </row>
    <row r="74" spans="2:9" ht="18" customHeight="1" x14ac:dyDescent="0.35">
      <c r="B74" s="25" t="s">
        <v>122</v>
      </c>
      <c r="C74" s="18"/>
      <c r="D74" s="19"/>
      <c r="E74" s="68" t="s">
        <v>658</v>
      </c>
      <c r="F74" s="18"/>
      <c r="G74" s="18"/>
      <c r="H74" s="18"/>
      <c r="I74" s="19"/>
    </row>
    <row r="75" spans="2:9" ht="18" customHeight="1" x14ac:dyDescent="0.35">
      <c r="B75" s="25" t="s">
        <v>124</v>
      </c>
      <c r="C75" s="18"/>
      <c r="D75" s="19"/>
      <c r="E75" s="68" t="s">
        <v>659</v>
      </c>
      <c r="F75" s="18"/>
      <c r="G75" s="18"/>
      <c r="H75" s="18"/>
      <c r="I75" s="19"/>
    </row>
    <row r="76" spans="2:9" ht="31" customHeight="1" x14ac:dyDescent="0.35">
      <c r="B76" s="25" t="s">
        <v>126</v>
      </c>
      <c r="C76" s="18"/>
      <c r="D76" s="19"/>
      <c r="E76" s="68" t="s">
        <v>660</v>
      </c>
      <c r="F76" s="18"/>
      <c r="G76" s="18"/>
      <c r="H76" s="18"/>
      <c r="I76" s="19"/>
    </row>
    <row r="77" spans="2:9" ht="18" customHeight="1" x14ac:dyDescent="0.35">
      <c r="B77" s="25" t="s">
        <v>128</v>
      </c>
      <c r="C77" s="18"/>
      <c r="D77" s="19"/>
      <c r="E77" s="68" t="s">
        <v>661</v>
      </c>
      <c r="F77" s="18"/>
      <c r="G77" s="18"/>
      <c r="H77" s="18"/>
      <c r="I77" s="19"/>
    </row>
    <row r="78" spans="2:9" ht="18" customHeight="1" x14ac:dyDescent="0.35">
      <c r="B78" s="72" t="s">
        <v>130</v>
      </c>
      <c r="C78" s="18"/>
      <c r="D78" s="19"/>
      <c r="E78" s="68" t="s">
        <v>662</v>
      </c>
      <c r="F78" s="18"/>
      <c r="G78" s="18"/>
      <c r="H78" s="18"/>
      <c r="I78" s="19"/>
    </row>
    <row r="80" spans="2:9" ht="18" customHeight="1" x14ac:dyDescent="0.35">
      <c r="B80" s="73" t="s">
        <v>144</v>
      </c>
      <c r="C80" s="18"/>
      <c r="D80" s="18"/>
      <c r="E80" s="18"/>
      <c r="F80" s="18"/>
      <c r="G80" s="18"/>
      <c r="H80" s="18"/>
      <c r="I80" s="19"/>
    </row>
    <row r="81" spans="2:9" ht="18" customHeight="1" x14ac:dyDescent="0.35">
      <c r="B81" s="25" t="s">
        <v>122</v>
      </c>
      <c r="C81" s="18"/>
      <c r="D81" s="19"/>
      <c r="E81" s="68" t="s">
        <v>663</v>
      </c>
      <c r="F81" s="18"/>
      <c r="G81" s="18"/>
      <c r="H81" s="18"/>
      <c r="I81" s="19"/>
    </row>
    <row r="82" spans="2:9" ht="18" customHeight="1" x14ac:dyDescent="0.35">
      <c r="B82" s="25" t="s">
        <v>124</v>
      </c>
      <c r="C82" s="18"/>
      <c r="D82" s="19"/>
      <c r="E82" s="68" t="s">
        <v>664</v>
      </c>
      <c r="F82" s="18"/>
      <c r="G82" s="18"/>
      <c r="H82" s="18"/>
      <c r="I82" s="19"/>
    </row>
    <row r="83" spans="2:9" ht="35.5" customHeight="1" x14ac:dyDescent="0.35">
      <c r="B83" s="25" t="s">
        <v>126</v>
      </c>
      <c r="C83" s="18"/>
      <c r="D83" s="19"/>
      <c r="E83" s="68" t="s">
        <v>665</v>
      </c>
      <c r="F83" s="18"/>
      <c r="G83" s="18"/>
      <c r="H83" s="18"/>
      <c r="I83" s="19"/>
    </row>
    <row r="84" spans="2:9" ht="18" customHeight="1" x14ac:dyDescent="0.35">
      <c r="B84" s="25" t="s">
        <v>128</v>
      </c>
      <c r="C84" s="18"/>
      <c r="D84" s="19"/>
      <c r="E84" s="68" t="s">
        <v>666</v>
      </c>
      <c r="F84" s="18"/>
      <c r="G84" s="18"/>
      <c r="H84" s="18"/>
      <c r="I84" s="19"/>
    </row>
    <row r="85" spans="2:9" ht="18" customHeight="1" x14ac:dyDescent="0.35">
      <c r="B85" s="25" t="s">
        <v>130</v>
      </c>
      <c r="C85" s="18"/>
      <c r="D85" s="19"/>
      <c r="E85" s="68" t="s">
        <v>667</v>
      </c>
      <c r="F85" s="18"/>
      <c r="G85" s="18"/>
      <c r="H85" s="18"/>
      <c r="I85" s="19"/>
    </row>
    <row r="87" spans="2:9" ht="18" customHeight="1" x14ac:dyDescent="0.35">
      <c r="B87" s="27" t="s">
        <v>150</v>
      </c>
      <c r="C87" s="18"/>
      <c r="D87" s="18"/>
      <c r="E87" s="18"/>
      <c r="F87" s="18"/>
      <c r="G87" s="18"/>
      <c r="H87" s="18"/>
      <c r="I87" s="19"/>
    </row>
    <row r="88" spans="2:9" ht="18" customHeight="1" x14ac:dyDescent="0.35">
      <c r="B88" s="25" t="s">
        <v>122</v>
      </c>
      <c r="C88" s="18"/>
      <c r="D88" s="19"/>
      <c r="E88" s="68" t="s">
        <v>668</v>
      </c>
      <c r="F88" s="18"/>
      <c r="G88" s="18"/>
      <c r="H88" s="18"/>
      <c r="I88" s="19"/>
    </row>
    <row r="89" spans="2:9" ht="18" customHeight="1" x14ac:dyDescent="0.35">
      <c r="B89" s="72" t="s">
        <v>124</v>
      </c>
      <c r="C89" s="18"/>
      <c r="D89" s="19"/>
      <c r="E89" s="68" t="s">
        <v>669</v>
      </c>
      <c r="F89" s="18"/>
      <c r="G89" s="18"/>
      <c r="H89" s="18"/>
      <c r="I89" s="19"/>
    </row>
    <row r="90" spans="2:9" ht="36.5" customHeight="1" x14ac:dyDescent="0.35">
      <c r="B90" s="72" t="s">
        <v>126</v>
      </c>
      <c r="C90" s="18"/>
      <c r="D90" s="19"/>
      <c r="E90" s="68" t="s">
        <v>670</v>
      </c>
      <c r="F90" s="18"/>
      <c r="G90" s="18"/>
      <c r="H90" s="18"/>
      <c r="I90" s="19"/>
    </row>
    <row r="91" spans="2:9" ht="18" customHeight="1" x14ac:dyDescent="0.35">
      <c r="B91" s="25" t="s">
        <v>128</v>
      </c>
      <c r="C91" s="18"/>
      <c r="D91" s="19"/>
      <c r="E91" s="68" t="s">
        <v>671</v>
      </c>
      <c r="F91" s="18"/>
      <c r="G91" s="18"/>
      <c r="H91" s="18"/>
      <c r="I91" s="19"/>
    </row>
    <row r="92" spans="2:9" ht="18" customHeight="1" x14ac:dyDescent="0.35">
      <c r="B92" s="25" t="s">
        <v>130</v>
      </c>
      <c r="C92" s="18"/>
      <c r="D92" s="19"/>
      <c r="E92" s="68" t="s">
        <v>672</v>
      </c>
      <c r="F92" s="18"/>
      <c r="G92" s="18"/>
      <c r="H92" s="18"/>
      <c r="I92" s="19"/>
    </row>
    <row r="94" spans="2:9" ht="15.75" customHeight="1" x14ac:dyDescent="0.35">
      <c r="B94" s="31" t="s">
        <v>448</v>
      </c>
      <c r="C94" s="18"/>
      <c r="D94" s="18"/>
      <c r="E94" s="18"/>
      <c r="F94" s="18"/>
      <c r="G94" s="18"/>
      <c r="H94" s="18"/>
      <c r="I94" s="19"/>
    </row>
  </sheetData>
  <mergeCells count="106">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E68:I68"/>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E55:I55"/>
    <mergeCell ref="E52:I52"/>
    <mergeCell ref="E67:I67"/>
    <mergeCell ref="B44:D44"/>
    <mergeCell ref="B53:D53"/>
    <mergeCell ref="E39:I39"/>
    <mergeCell ref="E48:I48"/>
    <mergeCell ref="E60:I60"/>
    <mergeCell ref="B51:D51"/>
    <mergeCell ref="B41:D41"/>
  </mergeCells>
  <phoneticPr fontId="16" type="noConversion"/>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I94"/>
  <sheetViews>
    <sheetView showGridLines="0" topLeftCell="D25" zoomScaleNormal="100" workbookViewId="0">
      <selection activeCell="E99" sqref="E99"/>
    </sheetView>
  </sheetViews>
  <sheetFormatPr defaultColWidth="8.54296875" defaultRowHeight="14.5" x14ac:dyDescent="0.35"/>
  <cols>
    <col min="1" max="1" width="3" customWidth="1"/>
    <col min="2" max="2" width="12" customWidth="1"/>
    <col min="3" max="3" width="6" customWidth="1"/>
    <col min="4" max="4" width="16.7265625" bestFit="1" customWidth="1"/>
    <col min="5" max="5" width="90.6328125" bestFit="1" customWidth="1"/>
    <col min="6" max="6" width="45.7265625" bestFit="1" customWidth="1"/>
    <col min="7" max="7" width="13.1796875" bestFit="1" customWidth="1"/>
    <col min="8" max="8" width="95.453125" bestFit="1" customWidth="1"/>
    <col min="9" max="9" width="58.81640625" bestFit="1" customWidth="1"/>
  </cols>
  <sheetData>
    <row r="1" spans="2:9" ht="13.5" customHeight="1" x14ac:dyDescent="0.35"/>
    <row r="2" spans="2:9" ht="33.75" customHeight="1" x14ac:dyDescent="0.35">
      <c r="B2" s="74" t="s">
        <v>673</v>
      </c>
      <c r="C2" s="18"/>
      <c r="D2" s="18"/>
      <c r="E2" s="18"/>
      <c r="F2" s="18"/>
      <c r="G2" s="18"/>
      <c r="H2" s="18"/>
      <c r="I2" s="19"/>
    </row>
    <row r="3" spans="2:9" ht="15.75" customHeight="1" x14ac:dyDescent="0.35">
      <c r="B3" s="32" t="s">
        <v>1</v>
      </c>
      <c r="C3" s="21"/>
      <c r="D3" s="21"/>
      <c r="E3" s="21"/>
      <c r="F3" s="21"/>
      <c r="G3" s="21"/>
      <c r="H3" s="21"/>
      <c r="I3" s="21"/>
    </row>
    <row r="5" spans="2:9" ht="21.75" customHeight="1" x14ac:dyDescent="0.35">
      <c r="B5" s="28" t="s">
        <v>2</v>
      </c>
      <c r="C5" s="18"/>
      <c r="D5" s="18"/>
      <c r="E5" s="18"/>
      <c r="F5" s="18"/>
      <c r="G5" s="18"/>
      <c r="H5" s="18"/>
      <c r="I5" s="19"/>
    </row>
    <row r="6" spans="2:9" ht="13.5" customHeight="1" x14ac:dyDescent="0.35">
      <c r="B6" s="29" t="s">
        <v>3</v>
      </c>
      <c r="C6" s="21"/>
      <c r="D6" s="21"/>
      <c r="E6" s="21"/>
      <c r="F6" s="21"/>
      <c r="G6" s="21"/>
      <c r="H6" s="21"/>
      <c r="I6" s="21"/>
    </row>
    <row r="7" spans="2:9" ht="19.5" customHeight="1" x14ac:dyDescent="0.35">
      <c r="B7" s="5" t="s">
        <v>4</v>
      </c>
      <c r="C7" s="5" t="s">
        <v>5</v>
      </c>
      <c r="D7" s="5" t="s">
        <v>6</v>
      </c>
      <c r="E7" s="5" t="s">
        <v>7</v>
      </c>
      <c r="F7" s="5" t="s">
        <v>8</v>
      </c>
      <c r="G7" s="75" t="s">
        <v>9</v>
      </c>
      <c r="H7" s="5" t="s">
        <v>10</v>
      </c>
      <c r="I7" s="75" t="s">
        <v>11</v>
      </c>
    </row>
    <row r="8" spans="2:9" ht="18" customHeight="1" x14ac:dyDescent="0.35">
      <c r="B8" s="9" t="s">
        <v>488</v>
      </c>
      <c r="C8" s="9" t="s">
        <v>20</v>
      </c>
      <c r="D8" s="9" t="s">
        <v>577</v>
      </c>
      <c r="E8" s="9" t="s">
        <v>674</v>
      </c>
      <c r="F8" s="9" t="s">
        <v>582</v>
      </c>
      <c r="G8" s="9" t="s">
        <v>17</v>
      </c>
      <c r="H8" s="9" t="s">
        <v>675</v>
      </c>
      <c r="I8" s="9" t="s">
        <v>597</v>
      </c>
    </row>
    <row r="9" spans="2:9" ht="18" customHeight="1" x14ac:dyDescent="0.35">
      <c r="B9" s="9" t="s">
        <v>488</v>
      </c>
      <c r="C9" s="9" t="s">
        <v>13</v>
      </c>
      <c r="D9" s="9" t="s">
        <v>577</v>
      </c>
      <c r="E9" s="9" t="s">
        <v>581</v>
      </c>
      <c r="F9" s="9" t="s">
        <v>583</v>
      </c>
      <c r="G9" s="9" t="s">
        <v>23</v>
      </c>
      <c r="H9" s="9" t="s">
        <v>595</v>
      </c>
      <c r="I9" s="9" t="s">
        <v>598</v>
      </c>
    </row>
    <row r="10" spans="2:9" ht="18" customHeight="1" x14ac:dyDescent="0.35">
      <c r="B10" s="9" t="s">
        <v>488</v>
      </c>
      <c r="C10" s="9" t="s">
        <v>37</v>
      </c>
      <c r="D10" s="9" t="s">
        <v>577</v>
      </c>
      <c r="E10" s="9" t="s">
        <v>584</v>
      </c>
      <c r="F10" s="9" t="s">
        <v>585</v>
      </c>
      <c r="G10" s="9" t="s">
        <v>23</v>
      </c>
      <c r="H10" s="9" t="s">
        <v>596</v>
      </c>
      <c r="I10" s="9" t="s">
        <v>599</v>
      </c>
    </row>
    <row r="11" spans="2:9" ht="18" customHeight="1" x14ac:dyDescent="0.35">
      <c r="B11" s="9" t="s">
        <v>488</v>
      </c>
      <c r="C11" s="9" t="s">
        <v>31</v>
      </c>
      <c r="D11" s="9" t="s">
        <v>577</v>
      </c>
      <c r="E11" s="9" t="s">
        <v>586</v>
      </c>
      <c r="F11" s="9" t="s">
        <v>590</v>
      </c>
      <c r="G11" s="9" t="s">
        <v>23</v>
      </c>
      <c r="H11" s="9" t="s">
        <v>600</v>
      </c>
      <c r="I11" s="9" t="s">
        <v>607</v>
      </c>
    </row>
    <row r="12" spans="2:9" ht="18" customHeight="1" x14ac:dyDescent="0.35">
      <c r="B12" s="9" t="s">
        <v>488</v>
      </c>
      <c r="C12" s="9" t="s">
        <v>26</v>
      </c>
      <c r="D12" s="9" t="s">
        <v>577</v>
      </c>
      <c r="E12" s="9" t="s">
        <v>587</v>
      </c>
      <c r="F12" s="9" t="s">
        <v>591</v>
      </c>
      <c r="G12" s="9" t="s">
        <v>17</v>
      </c>
      <c r="H12" s="9" t="s">
        <v>601</v>
      </c>
      <c r="I12" s="9" t="s">
        <v>676</v>
      </c>
    </row>
    <row r="13" spans="2:9" ht="18" customHeight="1" x14ac:dyDescent="0.35">
      <c r="B13" s="9" t="s">
        <v>488</v>
      </c>
      <c r="C13" s="9" t="s">
        <v>26</v>
      </c>
      <c r="D13" s="9" t="s">
        <v>577</v>
      </c>
      <c r="E13" s="9" t="s">
        <v>588</v>
      </c>
      <c r="F13" s="9" t="s">
        <v>592</v>
      </c>
      <c r="G13" s="9" t="s">
        <v>17</v>
      </c>
      <c r="H13" s="9" t="s">
        <v>602</v>
      </c>
      <c r="I13" s="9" t="s">
        <v>677</v>
      </c>
    </row>
    <row r="14" spans="2:9" ht="18" customHeight="1" x14ac:dyDescent="0.35">
      <c r="B14" s="4"/>
      <c r="C14" s="4"/>
      <c r="D14" s="4"/>
      <c r="E14" s="4"/>
      <c r="F14" s="4"/>
      <c r="G14" s="4"/>
      <c r="H14" s="4"/>
      <c r="I14" s="4"/>
    </row>
    <row r="15" spans="2:9" ht="18" customHeight="1" x14ac:dyDescent="0.35">
      <c r="B15" s="4"/>
      <c r="C15" s="4"/>
      <c r="D15" s="4"/>
      <c r="E15" s="4"/>
      <c r="F15" s="4"/>
      <c r="G15" s="4"/>
      <c r="H15" s="4"/>
      <c r="I15" s="4"/>
    </row>
    <row r="17" spans="2:9" ht="21.75" customHeight="1" x14ac:dyDescent="0.35">
      <c r="B17" s="26" t="s">
        <v>55</v>
      </c>
      <c r="C17" s="18"/>
      <c r="D17" s="18"/>
      <c r="E17" s="18"/>
      <c r="F17" s="18"/>
      <c r="G17" s="18"/>
      <c r="H17" s="18"/>
      <c r="I17" s="19"/>
    </row>
    <row r="18" spans="2:9" ht="13.5" customHeight="1" x14ac:dyDescent="0.35">
      <c r="B18" s="29" t="s">
        <v>56</v>
      </c>
      <c r="C18" s="21"/>
      <c r="D18" s="21"/>
      <c r="E18" s="21"/>
      <c r="F18" s="21"/>
      <c r="G18" s="21"/>
      <c r="H18" s="21"/>
      <c r="I18" s="21"/>
    </row>
    <row r="19" spans="2:9" ht="19.5" customHeight="1" x14ac:dyDescent="0.35">
      <c r="B19" s="2" t="s">
        <v>57</v>
      </c>
      <c r="C19" s="2" t="s">
        <v>5</v>
      </c>
      <c r="D19" s="34" t="s">
        <v>58</v>
      </c>
      <c r="E19" s="18"/>
      <c r="F19" s="19"/>
      <c r="G19" s="34" t="s">
        <v>59</v>
      </c>
      <c r="H19" s="19"/>
      <c r="I19" s="2" t="s">
        <v>60</v>
      </c>
    </row>
    <row r="20" spans="2:9" ht="15.75" customHeight="1" x14ac:dyDescent="0.35">
      <c r="B20" s="30" t="s">
        <v>61</v>
      </c>
      <c r="C20" s="18"/>
      <c r="D20" s="18"/>
      <c r="E20" s="18"/>
      <c r="F20" s="18"/>
      <c r="G20" s="18"/>
      <c r="H20" s="18"/>
      <c r="I20" s="19"/>
    </row>
    <row r="21" spans="2:9" ht="18" customHeight="1" x14ac:dyDescent="0.35">
      <c r="B21" s="4"/>
      <c r="C21" s="9" t="s">
        <v>13</v>
      </c>
      <c r="D21" s="4"/>
      <c r="E21" s="9" t="s">
        <v>608</v>
      </c>
      <c r="F21" s="4"/>
      <c r="G21" s="4"/>
      <c r="H21" s="9" t="s">
        <v>611</v>
      </c>
      <c r="I21" s="9" t="s">
        <v>614</v>
      </c>
    </row>
    <row r="22" spans="2:9" ht="18" customHeight="1" x14ac:dyDescent="0.35">
      <c r="B22" s="4"/>
      <c r="C22" s="9" t="s">
        <v>20</v>
      </c>
      <c r="D22" s="4"/>
      <c r="E22" s="9" t="s">
        <v>609</v>
      </c>
      <c r="F22" s="4"/>
      <c r="G22" s="4"/>
      <c r="H22" s="9" t="s">
        <v>612</v>
      </c>
      <c r="I22" s="9" t="s">
        <v>615</v>
      </c>
    </row>
    <row r="23" spans="2:9" ht="18" customHeight="1" x14ac:dyDescent="0.35">
      <c r="B23" s="4"/>
      <c r="C23" s="9" t="s">
        <v>37</v>
      </c>
      <c r="D23" s="4"/>
      <c r="E23" s="9" t="s">
        <v>610</v>
      </c>
      <c r="F23" s="4"/>
      <c r="G23" s="4"/>
      <c r="H23" s="9" t="s">
        <v>613</v>
      </c>
      <c r="I23" s="9" t="s">
        <v>616</v>
      </c>
    </row>
    <row r="24" spans="2:9" ht="15.75" customHeight="1" x14ac:dyDescent="0.35">
      <c r="B24" s="30" t="s">
        <v>70</v>
      </c>
      <c r="C24" s="18"/>
      <c r="D24" s="18"/>
      <c r="E24" s="18"/>
      <c r="F24" s="18"/>
      <c r="G24" s="18"/>
      <c r="H24" s="18"/>
      <c r="I24" s="19"/>
    </row>
    <row r="25" spans="2:9" ht="18" customHeight="1" x14ac:dyDescent="0.35">
      <c r="B25" s="4"/>
      <c r="C25" s="9" t="s">
        <v>31</v>
      </c>
      <c r="D25" s="4"/>
      <c r="E25" s="9" t="s">
        <v>617</v>
      </c>
      <c r="F25" s="4"/>
      <c r="G25" s="4"/>
      <c r="H25" s="9" t="s">
        <v>585</v>
      </c>
      <c r="I25" s="9" t="s">
        <v>622</v>
      </c>
    </row>
    <row r="26" spans="2:9" ht="18" customHeight="1" x14ac:dyDescent="0.35">
      <c r="B26" s="4"/>
      <c r="C26" s="9" t="s">
        <v>26</v>
      </c>
      <c r="D26" s="4"/>
      <c r="E26" s="9" t="s">
        <v>618</v>
      </c>
      <c r="F26" s="4"/>
      <c r="G26" s="4"/>
      <c r="H26" s="9" t="s">
        <v>620</v>
      </c>
      <c r="I26" s="9" t="s">
        <v>623</v>
      </c>
    </row>
    <row r="27" spans="2:9" ht="18" customHeight="1" x14ac:dyDescent="0.35">
      <c r="B27" s="4"/>
      <c r="C27" s="9" t="s">
        <v>37</v>
      </c>
      <c r="D27" s="4"/>
      <c r="E27" s="9" t="s">
        <v>619</v>
      </c>
      <c r="F27" s="4"/>
      <c r="G27" s="4"/>
      <c r="H27" s="9" t="s">
        <v>621</v>
      </c>
      <c r="I27" s="9" t="s">
        <v>624</v>
      </c>
    </row>
    <row r="28" spans="2:9" ht="15.75" customHeight="1" x14ac:dyDescent="0.35">
      <c r="B28" s="30" t="s">
        <v>77</v>
      </c>
      <c r="C28" s="18"/>
      <c r="D28" s="18"/>
      <c r="E28" s="18"/>
      <c r="F28" s="18"/>
      <c r="G28" s="18"/>
      <c r="H28" s="18"/>
      <c r="I28" s="19"/>
    </row>
    <row r="29" spans="2:9" ht="18" customHeight="1" x14ac:dyDescent="0.35">
      <c r="B29" s="4"/>
      <c r="C29" s="9" t="s">
        <v>31</v>
      </c>
      <c r="D29" s="4"/>
      <c r="E29" s="9" t="s">
        <v>625</v>
      </c>
      <c r="F29" s="4"/>
      <c r="G29" s="4"/>
      <c r="H29" s="9" t="s">
        <v>591</v>
      </c>
      <c r="I29" s="9" t="s">
        <v>628</v>
      </c>
    </row>
    <row r="30" spans="2:9" ht="18" customHeight="1" x14ac:dyDescent="0.35">
      <c r="B30" s="4"/>
      <c r="C30" s="9" t="s">
        <v>37</v>
      </c>
      <c r="D30" s="4"/>
      <c r="E30" s="9" t="s">
        <v>626</v>
      </c>
      <c r="F30" s="4"/>
      <c r="G30" s="4"/>
      <c r="H30" s="9" t="s">
        <v>627</v>
      </c>
      <c r="I30" s="9" t="s">
        <v>629</v>
      </c>
    </row>
    <row r="31" spans="2:9" ht="18" customHeight="1" x14ac:dyDescent="0.35">
      <c r="B31" s="4"/>
      <c r="C31" s="4"/>
      <c r="D31" s="4"/>
      <c r="E31" s="4"/>
      <c r="F31" s="4"/>
      <c r="G31" s="4"/>
      <c r="H31" s="4"/>
      <c r="I31" s="4"/>
    </row>
    <row r="32" spans="2:9" ht="15.75" customHeight="1" x14ac:dyDescent="0.35">
      <c r="B32" s="30" t="s">
        <v>85</v>
      </c>
      <c r="C32" s="18"/>
      <c r="D32" s="18"/>
      <c r="E32" s="18"/>
      <c r="F32" s="18"/>
      <c r="G32" s="18"/>
      <c r="H32" s="18"/>
      <c r="I32" s="19"/>
    </row>
    <row r="33" spans="2:9" ht="18" customHeight="1" x14ac:dyDescent="0.35">
      <c r="B33" s="4"/>
      <c r="C33" s="9" t="s">
        <v>20</v>
      </c>
      <c r="D33" s="4"/>
      <c r="E33" s="9" t="s">
        <v>630</v>
      </c>
      <c r="F33" s="4"/>
      <c r="G33" s="4"/>
      <c r="H33" s="9" t="s">
        <v>627</v>
      </c>
      <c r="I33" s="9" t="s">
        <v>631</v>
      </c>
    </row>
    <row r="34" spans="2:9" ht="18" customHeight="1" x14ac:dyDescent="0.35">
      <c r="B34" s="4"/>
      <c r="C34" s="4"/>
      <c r="D34" s="4"/>
      <c r="E34" s="4"/>
      <c r="F34" s="4"/>
      <c r="G34" s="4"/>
      <c r="H34" s="4"/>
      <c r="I34" s="4"/>
    </row>
    <row r="35" spans="2:9" ht="18" customHeight="1" x14ac:dyDescent="0.35">
      <c r="B35" s="4"/>
      <c r="C35" s="4"/>
      <c r="D35" s="4"/>
      <c r="E35" s="4"/>
      <c r="F35" s="4"/>
      <c r="G35" s="4"/>
      <c r="H35" s="4"/>
      <c r="I35" s="4"/>
    </row>
    <row r="37" spans="2:9" ht="21.75" customHeight="1" x14ac:dyDescent="0.35">
      <c r="B37" s="36" t="s">
        <v>90</v>
      </c>
      <c r="C37" s="18"/>
      <c r="D37" s="18"/>
      <c r="E37" s="18"/>
      <c r="F37" s="18"/>
      <c r="G37" s="18"/>
      <c r="H37" s="18"/>
      <c r="I37" s="19"/>
    </row>
    <row r="38" spans="2:9" ht="13.5" customHeight="1" x14ac:dyDescent="0.35">
      <c r="B38" s="29" t="s">
        <v>91</v>
      </c>
      <c r="C38" s="21"/>
      <c r="D38" s="21"/>
      <c r="E38" s="21"/>
      <c r="F38" s="21"/>
      <c r="G38" s="21"/>
      <c r="H38" s="21"/>
      <c r="I38" s="21"/>
    </row>
    <row r="39" spans="2:9" ht="19.5" customHeight="1" x14ac:dyDescent="0.35">
      <c r="B39" s="1" t="s">
        <v>92</v>
      </c>
      <c r="C39" s="1" t="s">
        <v>93</v>
      </c>
      <c r="D39" s="1" t="s">
        <v>94</v>
      </c>
      <c r="E39" s="24" t="s">
        <v>95</v>
      </c>
      <c r="F39" s="18"/>
      <c r="G39" s="18"/>
      <c r="H39" s="18"/>
      <c r="I39" s="19"/>
    </row>
    <row r="40" spans="2:9" ht="21.75" customHeight="1" x14ac:dyDescent="0.35">
      <c r="B40" s="22" t="s">
        <v>96</v>
      </c>
      <c r="C40" s="18"/>
      <c r="D40" s="19"/>
      <c r="E40" s="70" t="s">
        <v>678</v>
      </c>
      <c r="F40" s="18"/>
      <c r="G40" s="18"/>
      <c r="H40" s="18"/>
      <c r="I40" s="19"/>
    </row>
    <row r="41" spans="2:9" ht="34" customHeight="1" x14ac:dyDescent="0.35">
      <c r="B41" s="68" t="s">
        <v>98</v>
      </c>
      <c r="C41" s="18"/>
      <c r="D41" s="19"/>
      <c r="E41" s="70" t="s">
        <v>633</v>
      </c>
      <c r="F41" s="18"/>
      <c r="G41" s="18"/>
      <c r="H41" s="18"/>
      <c r="I41" s="19"/>
    </row>
    <row r="42" spans="2:9" ht="21.75" customHeight="1" x14ac:dyDescent="0.35">
      <c r="B42" s="23" t="s">
        <v>100</v>
      </c>
      <c r="C42" s="18"/>
      <c r="D42" s="19"/>
      <c r="E42" s="70" t="s">
        <v>679</v>
      </c>
      <c r="F42" s="18"/>
      <c r="G42" s="18"/>
      <c r="H42" s="18"/>
      <c r="I42" s="19"/>
    </row>
    <row r="43" spans="2:9" ht="21.75" customHeight="1" x14ac:dyDescent="0.35">
      <c r="B43" s="23" t="s">
        <v>102</v>
      </c>
      <c r="C43" s="18"/>
      <c r="D43" s="19"/>
      <c r="E43" s="70" t="s">
        <v>635</v>
      </c>
      <c r="F43" s="18"/>
      <c r="G43" s="18"/>
      <c r="H43" s="18"/>
      <c r="I43" s="19"/>
    </row>
    <row r="44" spans="2:9" ht="21.75" customHeight="1" x14ac:dyDescent="0.35">
      <c r="B44" s="22" t="s">
        <v>104</v>
      </c>
      <c r="C44" s="18"/>
      <c r="D44" s="19"/>
      <c r="E44" s="70" t="s">
        <v>636</v>
      </c>
      <c r="F44" s="18"/>
      <c r="G44" s="18"/>
      <c r="H44" s="18"/>
      <c r="I44" s="19"/>
    </row>
    <row r="45" spans="2:9" ht="21.75" customHeight="1" x14ac:dyDescent="0.35">
      <c r="B45" s="23" t="s">
        <v>98</v>
      </c>
      <c r="C45" s="18"/>
      <c r="D45" s="19"/>
      <c r="E45" s="70" t="s">
        <v>637</v>
      </c>
      <c r="F45" s="18"/>
      <c r="G45" s="18"/>
      <c r="H45" s="18"/>
      <c r="I45" s="19"/>
    </row>
    <row r="46" spans="2:9" ht="21.75" customHeight="1" x14ac:dyDescent="0.35">
      <c r="B46" s="23" t="s">
        <v>100</v>
      </c>
      <c r="C46" s="18"/>
      <c r="D46" s="19"/>
      <c r="E46" s="70" t="s">
        <v>638</v>
      </c>
      <c r="F46" s="18"/>
      <c r="G46" s="18"/>
      <c r="H46" s="18"/>
      <c r="I46" s="19"/>
    </row>
    <row r="47" spans="2:9" ht="21.75" customHeight="1" x14ac:dyDescent="0.35">
      <c r="B47" s="23" t="s">
        <v>102</v>
      </c>
      <c r="C47" s="18"/>
      <c r="D47" s="19"/>
      <c r="E47" s="70" t="s">
        <v>680</v>
      </c>
      <c r="F47" s="18"/>
      <c r="G47" s="18"/>
      <c r="H47" s="18"/>
      <c r="I47" s="19"/>
    </row>
    <row r="48" spans="2:9" ht="21.75" customHeight="1" x14ac:dyDescent="0.35">
      <c r="B48" s="22" t="s">
        <v>109</v>
      </c>
      <c r="C48" s="18"/>
      <c r="D48" s="19"/>
      <c r="E48" s="70" t="s">
        <v>681</v>
      </c>
      <c r="F48" s="18"/>
      <c r="G48" s="18"/>
      <c r="H48" s="18"/>
      <c r="I48" s="19"/>
    </row>
    <row r="49" spans="2:9" ht="35" customHeight="1" x14ac:dyDescent="0.35">
      <c r="B49" s="68" t="s">
        <v>98</v>
      </c>
      <c r="C49" s="18"/>
      <c r="D49" s="19"/>
      <c r="E49" s="70" t="s">
        <v>641</v>
      </c>
      <c r="F49" s="18"/>
      <c r="G49" s="18"/>
      <c r="H49" s="18"/>
      <c r="I49" s="19"/>
    </row>
    <row r="50" spans="2:9" ht="21.75" customHeight="1" x14ac:dyDescent="0.35">
      <c r="B50" s="23" t="s">
        <v>100</v>
      </c>
      <c r="C50" s="18"/>
      <c r="D50" s="19"/>
      <c r="E50" s="70" t="s">
        <v>642</v>
      </c>
      <c r="F50" s="18"/>
      <c r="G50" s="18"/>
      <c r="H50" s="18"/>
      <c r="I50" s="19"/>
    </row>
    <row r="51" spans="2:9" ht="21.75" customHeight="1" x14ac:dyDescent="0.35">
      <c r="B51" s="23" t="s">
        <v>102</v>
      </c>
      <c r="C51" s="18"/>
      <c r="D51" s="19"/>
      <c r="E51" s="70" t="s">
        <v>643</v>
      </c>
      <c r="F51" s="18"/>
      <c r="G51" s="18"/>
      <c r="H51" s="18"/>
      <c r="I51" s="19"/>
    </row>
    <row r="52" spans="2:9" ht="21.75" customHeight="1" x14ac:dyDescent="0.35">
      <c r="B52" s="22" t="s">
        <v>114</v>
      </c>
      <c r="C52" s="18"/>
      <c r="D52" s="19"/>
      <c r="E52" s="70" t="s">
        <v>644</v>
      </c>
      <c r="F52" s="18"/>
      <c r="G52" s="18"/>
      <c r="H52" s="18"/>
      <c r="I52" s="19"/>
    </row>
    <row r="53" spans="2:9" ht="31.5" customHeight="1" x14ac:dyDescent="0.35">
      <c r="B53" s="23" t="s">
        <v>98</v>
      </c>
      <c r="C53" s="18"/>
      <c r="D53" s="19"/>
      <c r="E53" s="70" t="s">
        <v>645</v>
      </c>
      <c r="F53" s="18"/>
      <c r="G53" s="18"/>
      <c r="H53" s="18"/>
      <c r="I53" s="19"/>
    </row>
    <row r="54" spans="2:9" ht="21.75" customHeight="1" x14ac:dyDescent="0.35">
      <c r="B54" s="23" t="s">
        <v>100</v>
      </c>
      <c r="C54" s="18"/>
      <c r="D54" s="19"/>
      <c r="E54" s="70" t="s">
        <v>646</v>
      </c>
      <c r="F54" s="18"/>
      <c r="G54" s="18"/>
      <c r="H54" s="18"/>
      <c r="I54" s="19"/>
    </row>
    <row r="55" spans="2:9" ht="21.75" customHeight="1" x14ac:dyDescent="0.35">
      <c r="B55" s="23" t="s">
        <v>102</v>
      </c>
      <c r="C55" s="18"/>
      <c r="D55" s="19"/>
      <c r="E55" s="70" t="s">
        <v>647</v>
      </c>
      <c r="F55" s="18"/>
      <c r="G55" s="18"/>
      <c r="H55" s="18"/>
      <c r="I55" s="19"/>
    </row>
    <row r="56" spans="2:9" x14ac:dyDescent="0.35">
      <c r="E56" s="17"/>
      <c r="F56" s="18"/>
      <c r="G56" s="18"/>
      <c r="H56" s="18"/>
      <c r="I56" s="19"/>
    </row>
    <row r="57" spans="2:9" ht="21.75" customHeight="1" x14ac:dyDescent="0.35">
      <c r="B57" s="76" t="s">
        <v>119</v>
      </c>
      <c r="C57" s="18"/>
      <c r="D57" s="18"/>
      <c r="E57" s="18"/>
      <c r="F57" s="18"/>
      <c r="G57" s="18"/>
      <c r="H57" s="18"/>
      <c r="I57" s="19"/>
    </row>
    <row r="58" spans="2:9" ht="13.5" customHeight="1" x14ac:dyDescent="0.35">
      <c r="B58" s="29" t="s">
        <v>120</v>
      </c>
      <c r="C58" s="21"/>
      <c r="D58" s="21"/>
      <c r="E58" s="21"/>
      <c r="F58" s="21"/>
      <c r="G58" s="21"/>
      <c r="H58" s="21"/>
      <c r="I58" s="21"/>
    </row>
    <row r="59" spans="2:9" ht="18" customHeight="1" x14ac:dyDescent="0.35">
      <c r="B59" s="27" t="s">
        <v>121</v>
      </c>
      <c r="C59" s="18"/>
      <c r="D59" s="18"/>
      <c r="E59" s="18"/>
      <c r="F59" s="18"/>
      <c r="G59" s="18"/>
      <c r="H59" s="18"/>
      <c r="I59" s="19"/>
    </row>
    <row r="60" spans="2:9" ht="18" customHeight="1" x14ac:dyDescent="0.35">
      <c r="B60" s="25" t="s">
        <v>122</v>
      </c>
      <c r="C60" s="18"/>
      <c r="D60" s="19"/>
      <c r="E60" s="71" t="s">
        <v>648</v>
      </c>
      <c r="F60" s="21"/>
      <c r="G60" s="21"/>
      <c r="H60" s="21"/>
      <c r="I60" s="21"/>
    </row>
    <row r="61" spans="2:9" ht="18" customHeight="1" x14ac:dyDescent="0.35">
      <c r="B61" s="25" t="s">
        <v>124</v>
      </c>
      <c r="C61" s="18"/>
      <c r="D61" s="19"/>
      <c r="E61" s="71" t="s">
        <v>649</v>
      </c>
      <c r="F61" s="21"/>
      <c r="G61" s="21"/>
      <c r="H61" s="21"/>
      <c r="I61" s="21"/>
    </row>
    <row r="62" spans="2:9" ht="27" customHeight="1" x14ac:dyDescent="0.35">
      <c r="B62" s="25" t="s">
        <v>126</v>
      </c>
      <c r="C62" s="18"/>
      <c r="D62" s="19"/>
      <c r="E62" s="71" t="s">
        <v>650</v>
      </c>
      <c r="F62" s="21"/>
      <c r="G62" s="21"/>
      <c r="H62" s="21"/>
      <c r="I62" s="21"/>
    </row>
    <row r="63" spans="2:9" ht="18" customHeight="1" x14ac:dyDescent="0.35">
      <c r="B63" s="25" t="s">
        <v>128</v>
      </c>
      <c r="C63" s="18"/>
      <c r="D63" s="19"/>
      <c r="E63" s="71" t="s">
        <v>651</v>
      </c>
      <c r="F63" s="21"/>
      <c r="G63" s="21"/>
      <c r="H63" s="21"/>
      <c r="I63" s="21"/>
    </row>
    <row r="64" spans="2:9" ht="18" customHeight="1" x14ac:dyDescent="0.35">
      <c r="B64" s="25" t="s">
        <v>130</v>
      </c>
      <c r="C64" s="18"/>
      <c r="D64" s="19"/>
      <c r="E64" s="71" t="s">
        <v>652</v>
      </c>
      <c r="F64" s="21"/>
      <c r="G64" s="21"/>
      <c r="H64" s="21"/>
      <c r="I64" s="21"/>
    </row>
    <row r="66" spans="2:9" ht="18" customHeight="1" x14ac:dyDescent="0.35">
      <c r="B66" s="73" t="s">
        <v>132</v>
      </c>
      <c r="C66" s="18"/>
      <c r="D66" s="18"/>
      <c r="E66" s="18"/>
      <c r="F66" s="18"/>
      <c r="G66" s="18"/>
      <c r="H66" s="18"/>
      <c r="I66" s="19"/>
    </row>
    <row r="67" spans="2:9" ht="18" customHeight="1" x14ac:dyDescent="0.35">
      <c r="B67" s="25" t="s">
        <v>122</v>
      </c>
      <c r="C67" s="18"/>
      <c r="D67" s="19"/>
      <c r="E67" s="71" t="s">
        <v>653</v>
      </c>
      <c r="F67" s="21"/>
      <c r="G67" s="21"/>
      <c r="H67" s="21"/>
      <c r="I67" s="21"/>
    </row>
    <row r="68" spans="2:9" ht="18" customHeight="1" x14ac:dyDescent="0.35">
      <c r="B68" s="25" t="s">
        <v>124</v>
      </c>
      <c r="C68" s="18"/>
      <c r="D68" s="19"/>
      <c r="E68" s="71" t="s">
        <v>654</v>
      </c>
      <c r="F68" s="21"/>
      <c r="G68" s="21"/>
      <c r="H68" s="21"/>
      <c r="I68" s="21"/>
    </row>
    <row r="69" spans="2:9" ht="34" customHeight="1" x14ac:dyDescent="0.35">
      <c r="B69" s="25" t="s">
        <v>126</v>
      </c>
      <c r="C69" s="18"/>
      <c r="D69" s="19"/>
      <c r="E69" s="71" t="s">
        <v>655</v>
      </c>
      <c r="F69" s="21"/>
      <c r="G69" s="21"/>
      <c r="H69" s="21"/>
      <c r="I69" s="21"/>
    </row>
    <row r="70" spans="2:9" ht="18" customHeight="1" x14ac:dyDescent="0.35">
      <c r="B70" s="25" t="s">
        <v>128</v>
      </c>
      <c r="C70" s="18"/>
      <c r="D70" s="19"/>
      <c r="E70" s="71" t="s">
        <v>656</v>
      </c>
      <c r="F70" s="21"/>
      <c r="G70" s="21"/>
      <c r="H70" s="21"/>
      <c r="I70" s="21"/>
    </row>
    <row r="71" spans="2:9" ht="18" customHeight="1" x14ac:dyDescent="0.35">
      <c r="B71" s="25" t="s">
        <v>130</v>
      </c>
      <c r="C71" s="18"/>
      <c r="D71" s="19"/>
      <c r="E71" s="71" t="s">
        <v>657</v>
      </c>
      <c r="F71" s="21"/>
      <c r="G71" s="21"/>
      <c r="H71" s="21"/>
      <c r="I71" s="21"/>
    </row>
    <row r="73" spans="2:9" ht="18" customHeight="1" x14ac:dyDescent="0.35">
      <c r="B73" s="27" t="s">
        <v>138</v>
      </c>
      <c r="C73" s="18"/>
      <c r="D73" s="18"/>
      <c r="E73" s="18"/>
      <c r="F73" s="18"/>
      <c r="G73" s="18"/>
      <c r="H73" s="18"/>
      <c r="I73" s="19"/>
    </row>
    <row r="74" spans="2:9" ht="18" customHeight="1" x14ac:dyDescent="0.35">
      <c r="B74" s="25" t="s">
        <v>122</v>
      </c>
      <c r="C74" s="18"/>
      <c r="D74" s="19"/>
      <c r="E74" s="68" t="s">
        <v>658</v>
      </c>
      <c r="F74" s="18"/>
      <c r="G74" s="18"/>
      <c r="H74" s="18"/>
      <c r="I74" s="19"/>
    </row>
    <row r="75" spans="2:9" ht="18" customHeight="1" x14ac:dyDescent="0.35">
      <c r="B75" s="25" t="s">
        <v>124</v>
      </c>
      <c r="C75" s="18"/>
      <c r="D75" s="19"/>
      <c r="E75" s="68" t="s">
        <v>659</v>
      </c>
      <c r="F75" s="18"/>
      <c r="G75" s="18"/>
      <c r="H75" s="18"/>
      <c r="I75" s="19"/>
    </row>
    <row r="76" spans="2:9" ht="33" customHeight="1" x14ac:dyDescent="0.35">
      <c r="B76" s="25" t="s">
        <v>126</v>
      </c>
      <c r="C76" s="18"/>
      <c r="D76" s="19"/>
      <c r="E76" s="68" t="s">
        <v>660</v>
      </c>
      <c r="F76" s="18"/>
      <c r="G76" s="18"/>
      <c r="H76" s="18"/>
      <c r="I76" s="19"/>
    </row>
    <row r="77" spans="2:9" ht="18" customHeight="1" x14ac:dyDescent="0.35">
      <c r="B77" s="25" t="s">
        <v>128</v>
      </c>
      <c r="C77" s="18"/>
      <c r="D77" s="19"/>
      <c r="E77" s="68" t="s">
        <v>661</v>
      </c>
      <c r="F77" s="18"/>
      <c r="G77" s="18"/>
      <c r="H77" s="18"/>
      <c r="I77" s="19"/>
    </row>
    <row r="78" spans="2:9" ht="18" customHeight="1" x14ac:dyDescent="0.35">
      <c r="B78" s="25" t="s">
        <v>130</v>
      </c>
      <c r="C78" s="18"/>
      <c r="D78" s="19"/>
      <c r="E78" s="68" t="s">
        <v>662</v>
      </c>
      <c r="F78" s="18"/>
      <c r="G78" s="18"/>
      <c r="H78" s="18"/>
      <c r="I78" s="19"/>
    </row>
    <row r="80" spans="2:9" ht="18" customHeight="1" x14ac:dyDescent="0.35">
      <c r="B80" s="73" t="s">
        <v>144</v>
      </c>
      <c r="C80" s="18"/>
      <c r="D80" s="18"/>
      <c r="E80" s="18"/>
      <c r="F80" s="18"/>
      <c r="G80" s="18"/>
      <c r="H80" s="18"/>
      <c r="I80" s="19"/>
    </row>
    <row r="81" spans="2:9" ht="18" customHeight="1" x14ac:dyDescent="0.35">
      <c r="B81" s="72" t="s">
        <v>122</v>
      </c>
      <c r="C81" s="18"/>
      <c r="D81" s="19"/>
      <c r="E81" s="68" t="s">
        <v>663</v>
      </c>
      <c r="F81" s="18"/>
      <c r="G81" s="18"/>
      <c r="H81" s="18"/>
      <c r="I81" s="19"/>
    </row>
    <row r="82" spans="2:9" ht="18" customHeight="1" x14ac:dyDescent="0.35">
      <c r="B82" s="25" t="s">
        <v>124</v>
      </c>
      <c r="C82" s="18"/>
      <c r="D82" s="19"/>
      <c r="E82" s="68" t="s">
        <v>664</v>
      </c>
      <c r="F82" s="18"/>
      <c r="G82" s="18"/>
      <c r="H82" s="18"/>
      <c r="I82" s="19"/>
    </row>
    <row r="83" spans="2:9" ht="34.5" customHeight="1" x14ac:dyDescent="0.35">
      <c r="B83" s="25" t="s">
        <v>126</v>
      </c>
      <c r="C83" s="18"/>
      <c r="D83" s="19"/>
      <c r="E83" s="68" t="s">
        <v>665</v>
      </c>
      <c r="F83" s="18"/>
      <c r="G83" s="18"/>
      <c r="H83" s="18"/>
      <c r="I83" s="19"/>
    </row>
    <row r="84" spans="2:9" ht="18" customHeight="1" x14ac:dyDescent="0.35">
      <c r="B84" s="72" t="s">
        <v>128</v>
      </c>
      <c r="C84" s="18"/>
      <c r="D84" s="19"/>
      <c r="E84" s="68" t="s">
        <v>666</v>
      </c>
      <c r="F84" s="18"/>
      <c r="G84" s="18"/>
      <c r="H84" s="18"/>
      <c r="I84" s="19"/>
    </row>
    <row r="85" spans="2:9" ht="18" customHeight="1" x14ac:dyDescent="0.35">
      <c r="B85" s="25" t="s">
        <v>130</v>
      </c>
      <c r="C85" s="18"/>
      <c r="D85" s="19"/>
      <c r="E85" s="68" t="s">
        <v>667</v>
      </c>
      <c r="F85" s="18"/>
      <c r="G85" s="18"/>
      <c r="H85" s="18"/>
      <c r="I85" s="19"/>
    </row>
    <row r="87" spans="2:9" ht="18" customHeight="1" x14ac:dyDescent="0.35">
      <c r="B87" s="73" t="s">
        <v>150</v>
      </c>
      <c r="C87" s="18"/>
      <c r="D87" s="18"/>
      <c r="E87" s="18"/>
      <c r="F87" s="18"/>
      <c r="G87" s="18"/>
      <c r="H87" s="18"/>
      <c r="I87" s="19"/>
    </row>
    <row r="88" spans="2:9" ht="18" customHeight="1" x14ac:dyDescent="0.35">
      <c r="B88" s="25" t="s">
        <v>122</v>
      </c>
      <c r="C88" s="18"/>
      <c r="D88" s="19"/>
      <c r="E88" s="68" t="s">
        <v>668</v>
      </c>
      <c r="F88" s="18"/>
      <c r="G88" s="18"/>
      <c r="H88" s="18"/>
      <c r="I88" s="19"/>
    </row>
    <row r="89" spans="2:9" ht="18" customHeight="1" x14ac:dyDescent="0.35">
      <c r="B89" s="25" t="s">
        <v>124</v>
      </c>
      <c r="C89" s="18"/>
      <c r="D89" s="19"/>
      <c r="E89" s="68" t="s">
        <v>669</v>
      </c>
      <c r="F89" s="18"/>
      <c r="G89" s="18"/>
      <c r="H89" s="18"/>
      <c r="I89" s="19"/>
    </row>
    <row r="90" spans="2:9" ht="34" customHeight="1" x14ac:dyDescent="0.35">
      <c r="B90" s="25" t="s">
        <v>126</v>
      </c>
      <c r="C90" s="18"/>
      <c r="D90" s="19"/>
      <c r="E90" s="68" t="s">
        <v>670</v>
      </c>
      <c r="F90" s="18"/>
      <c r="G90" s="18"/>
      <c r="H90" s="18"/>
      <c r="I90" s="19"/>
    </row>
    <row r="91" spans="2:9" ht="18" customHeight="1" x14ac:dyDescent="0.35">
      <c r="B91" s="25" t="s">
        <v>128</v>
      </c>
      <c r="C91" s="18"/>
      <c r="D91" s="19"/>
      <c r="E91" s="68" t="s">
        <v>671</v>
      </c>
      <c r="F91" s="18"/>
      <c r="G91" s="18"/>
      <c r="H91" s="18"/>
      <c r="I91" s="19"/>
    </row>
    <row r="92" spans="2:9" ht="18" customHeight="1" x14ac:dyDescent="0.35">
      <c r="B92" s="25" t="s">
        <v>130</v>
      </c>
      <c r="C92" s="18"/>
      <c r="D92" s="19"/>
      <c r="E92" s="68" t="s">
        <v>672</v>
      </c>
      <c r="F92" s="18"/>
      <c r="G92" s="18"/>
      <c r="H92" s="18"/>
      <c r="I92" s="19"/>
    </row>
    <row r="94" spans="2:9" ht="15.75" customHeight="1" x14ac:dyDescent="0.35">
      <c r="B94" s="31" t="s">
        <v>449</v>
      </c>
      <c r="C94" s="18"/>
      <c r="D94" s="18"/>
      <c r="E94" s="18"/>
      <c r="F94" s="18"/>
      <c r="G94" s="18"/>
      <c r="H94" s="18"/>
      <c r="I94" s="19"/>
    </row>
  </sheetData>
  <mergeCells count="106">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E68:I68"/>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E55:I55"/>
    <mergeCell ref="E52:I52"/>
    <mergeCell ref="E67:I67"/>
    <mergeCell ref="B44:D44"/>
    <mergeCell ref="B53:D53"/>
    <mergeCell ref="E39:I39"/>
    <mergeCell ref="E48:I48"/>
    <mergeCell ref="E60:I60"/>
    <mergeCell ref="B51:D51"/>
    <mergeCell ref="B41:D4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I94"/>
  <sheetViews>
    <sheetView showGridLines="0" tabSelected="1" topLeftCell="E69" zoomScaleNormal="100" workbookViewId="0">
      <selection activeCell="E98" sqref="E98"/>
    </sheetView>
  </sheetViews>
  <sheetFormatPr defaultColWidth="8.54296875" defaultRowHeight="14.5" x14ac:dyDescent="0.35"/>
  <cols>
    <col min="1" max="1" width="3" customWidth="1"/>
    <col min="2" max="2" width="12" customWidth="1"/>
    <col min="3" max="3" width="6" customWidth="1"/>
    <col min="4" max="4" width="12.7265625" customWidth="1"/>
    <col min="5" max="5" width="107.7265625" bestFit="1" customWidth="1"/>
    <col min="6" max="6" width="50.54296875" bestFit="1" customWidth="1"/>
    <col min="7" max="7" width="13.1796875" bestFit="1" customWidth="1"/>
    <col min="8" max="8" width="95" bestFit="1" customWidth="1"/>
    <col min="9" max="9" width="62.54296875" bestFit="1" customWidth="1"/>
  </cols>
  <sheetData>
    <row r="1" spans="2:9" ht="13.5" customHeight="1" x14ac:dyDescent="0.35"/>
    <row r="2" spans="2:9" ht="33.75" customHeight="1" x14ac:dyDescent="0.35">
      <c r="B2" s="74" t="s">
        <v>682</v>
      </c>
      <c r="C2" s="18"/>
      <c r="D2" s="18"/>
      <c r="E2" s="18"/>
      <c r="F2" s="18"/>
      <c r="G2" s="18"/>
      <c r="H2" s="18"/>
      <c r="I2" s="19"/>
    </row>
    <row r="3" spans="2:9" ht="15.75" customHeight="1" x14ac:dyDescent="0.35">
      <c r="B3" s="32" t="s">
        <v>1</v>
      </c>
      <c r="C3" s="21"/>
      <c r="D3" s="21"/>
      <c r="E3" s="21"/>
      <c r="F3" s="21"/>
      <c r="G3" s="21"/>
      <c r="H3" s="21"/>
      <c r="I3" s="21"/>
    </row>
    <row r="5" spans="2:9" ht="21.75" customHeight="1" x14ac:dyDescent="0.35">
      <c r="B5" s="28" t="s">
        <v>2</v>
      </c>
      <c r="C5" s="18"/>
      <c r="D5" s="18"/>
      <c r="E5" s="18"/>
      <c r="F5" s="18"/>
      <c r="G5" s="18"/>
      <c r="H5" s="18"/>
      <c r="I5" s="19"/>
    </row>
    <row r="6" spans="2:9" ht="13.5" customHeight="1" x14ac:dyDescent="0.35">
      <c r="B6" s="29" t="s">
        <v>3</v>
      </c>
      <c r="C6" s="21"/>
      <c r="D6" s="21"/>
      <c r="E6" s="21"/>
      <c r="F6" s="21"/>
      <c r="G6" s="21"/>
      <c r="H6" s="21"/>
      <c r="I6" s="21"/>
    </row>
    <row r="7" spans="2:9" ht="19.5" customHeight="1" x14ac:dyDescent="0.35">
      <c r="B7" s="5" t="s">
        <v>4</v>
      </c>
      <c r="C7" s="5" t="s">
        <v>5</v>
      </c>
      <c r="D7" s="5" t="s">
        <v>6</v>
      </c>
      <c r="E7" s="5" t="s">
        <v>7</v>
      </c>
      <c r="F7" s="5" t="s">
        <v>8</v>
      </c>
      <c r="G7" s="5" t="s">
        <v>9</v>
      </c>
      <c r="H7" s="5" t="s">
        <v>10</v>
      </c>
      <c r="I7" s="5" t="s">
        <v>11</v>
      </c>
    </row>
    <row r="8" spans="2:9" ht="18" customHeight="1" x14ac:dyDescent="0.35">
      <c r="B8" s="9" t="s">
        <v>683</v>
      </c>
      <c r="C8" s="9" t="s">
        <v>13</v>
      </c>
      <c r="D8" s="9" t="s">
        <v>579</v>
      </c>
      <c r="E8" s="9" t="s">
        <v>684</v>
      </c>
      <c r="F8" s="9" t="s">
        <v>685</v>
      </c>
      <c r="G8" s="9" t="s">
        <v>23</v>
      </c>
      <c r="H8" s="9" t="s">
        <v>694</v>
      </c>
      <c r="I8" s="9" t="s">
        <v>705</v>
      </c>
    </row>
    <row r="9" spans="2:9" ht="18" customHeight="1" x14ac:dyDescent="0.35">
      <c r="B9" s="9" t="s">
        <v>683</v>
      </c>
      <c r="C9" s="9" t="s">
        <v>20</v>
      </c>
      <c r="D9" s="9" t="s">
        <v>579</v>
      </c>
      <c r="E9" s="9" t="s">
        <v>686</v>
      </c>
      <c r="F9" s="9" t="s">
        <v>691</v>
      </c>
      <c r="G9" s="9" t="s">
        <v>17</v>
      </c>
      <c r="H9" s="9" t="s">
        <v>695</v>
      </c>
      <c r="I9" s="9" t="s">
        <v>704</v>
      </c>
    </row>
    <row r="10" spans="2:9" ht="18" customHeight="1" x14ac:dyDescent="0.35">
      <c r="B10" s="9" t="s">
        <v>683</v>
      </c>
      <c r="C10" s="9" t="s">
        <v>37</v>
      </c>
      <c r="D10" s="9" t="s">
        <v>579</v>
      </c>
      <c r="E10" s="9" t="s">
        <v>687</v>
      </c>
      <c r="F10" s="9" t="s">
        <v>685</v>
      </c>
      <c r="G10" s="9" t="s">
        <v>52</v>
      </c>
      <c r="H10" s="9" t="s">
        <v>696</v>
      </c>
      <c r="I10" s="9" t="s">
        <v>703</v>
      </c>
    </row>
    <row r="11" spans="2:9" ht="18" customHeight="1" x14ac:dyDescent="0.35">
      <c r="B11" s="9" t="s">
        <v>683</v>
      </c>
      <c r="C11" s="9" t="s">
        <v>31</v>
      </c>
      <c r="D11" s="9" t="s">
        <v>579</v>
      </c>
      <c r="E11" s="9" t="s">
        <v>688</v>
      </c>
      <c r="F11" s="9" t="s">
        <v>685</v>
      </c>
      <c r="G11" s="9" t="s">
        <v>17</v>
      </c>
      <c r="H11" s="9" t="s">
        <v>697</v>
      </c>
      <c r="I11" s="9" t="s">
        <v>702</v>
      </c>
    </row>
    <row r="12" spans="2:9" ht="18" customHeight="1" x14ac:dyDescent="0.35">
      <c r="B12" s="9" t="s">
        <v>683</v>
      </c>
      <c r="C12" s="9" t="s">
        <v>26</v>
      </c>
      <c r="D12" s="9" t="s">
        <v>579</v>
      </c>
      <c r="E12" s="9" t="s">
        <v>689</v>
      </c>
      <c r="F12" s="9" t="s">
        <v>692</v>
      </c>
      <c r="G12" s="9" t="s">
        <v>17</v>
      </c>
      <c r="H12" s="9" t="s">
        <v>698</v>
      </c>
      <c r="I12" s="9" t="s">
        <v>701</v>
      </c>
    </row>
    <row r="13" spans="2:9" ht="18" customHeight="1" x14ac:dyDescent="0.35">
      <c r="B13" s="9" t="s">
        <v>683</v>
      </c>
      <c r="C13" s="9" t="s">
        <v>31</v>
      </c>
      <c r="D13" s="9" t="s">
        <v>579</v>
      </c>
      <c r="E13" s="9" t="s">
        <v>690</v>
      </c>
      <c r="F13" s="9" t="s">
        <v>693</v>
      </c>
      <c r="G13" s="9" t="s">
        <v>17</v>
      </c>
      <c r="H13" s="9" t="s">
        <v>699</v>
      </c>
      <c r="I13" s="9" t="s">
        <v>700</v>
      </c>
    </row>
    <row r="14" spans="2:9" ht="18" customHeight="1" x14ac:dyDescent="0.35">
      <c r="B14" s="4"/>
      <c r="C14" s="4"/>
      <c r="D14" s="4"/>
      <c r="E14" s="4"/>
      <c r="F14" s="4"/>
      <c r="G14" s="9"/>
      <c r="H14" s="4"/>
      <c r="I14" s="4"/>
    </row>
    <row r="15" spans="2:9" ht="18" customHeight="1" x14ac:dyDescent="0.35">
      <c r="B15" s="4"/>
      <c r="C15" s="4"/>
      <c r="D15" s="4"/>
      <c r="E15" s="4"/>
      <c r="F15" s="9"/>
      <c r="G15" s="4"/>
      <c r="H15" s="4"/>
      <c r="I15" s="4"/>
    </row>
    <row r="17" spans="2:9" ht="21.75" customHeight="1" x14ac:dyDescent="0.35">
      <c r="B17" s="77" t="s">
        <v>55</v>
      </c>
      <c r="C17" s="18"/>
      <c r="D17" s="18"/>
      <c r="E17" s="18"/>
      <c r="F17" s="18"/>
      <c r="G17" s="18"/>
      <c r="H17" s="18"/>
      <c r="I17" s="19"/>
    </row>
    <row r="18" spans="2:9" ht="13.5" customHeight="1" x14ac:dyDescent="0.35">
      <c r="B18" s="29" t="s">
        <v>56</v>
      </c>
      <c r="C18" s="21"/>
      <c r="D18" s="21"/>
      <c r="E18" s="21"/>
      <c r="F18" s="21"/>
      <c r="G18" s="21"/>
      <c r="H18" s="21"/>
      <c r="I18" s="21"/>
    </row>
    <row r="19" spans="2:9" ht="19.5" customHeight="1" x14ac:dyDescent="0.35">
      <c r="B19" s="2" t="s">
        <v>57</v>
      </c>
      <c r="C19" s="2" t="s">
        <v>5</v>
      </c>
      <c r="D19" s="34" t="s">
        <v>58</v>
      </c>
      <c r="E19" s="18"/>
      <c r="F19" s="19"/>
      <c r="G19" s="34" t="s">
        <v>59</v>
      </c>
      <c r="H19" s="19"/>
      <c r="I19" s="2" t="s">
        <v>60</v>
      </c>
    </row>
    <row r="20" spans="2:9" ht="15.75" customHeight="1" x14ac:dyDescent="0.35">
      <c r="B20" s="30" t="s">
        <v>61</v>
      </c>
      <c r="C20" s="18"/>
      <c r="D20" s="18"/>
      <c r="E20" s="18"/>
      <c r="F20" s="18"/>
      <c r="G20" s="18"/>
      <c r="H20" s="18"/>
      <c r="I20" s="19"/>
    </row>
    <row r="21" spans="2:9" ht="18" customHeight="1" x14ac:dyDescent="0.35">
      <c r="B21" s="4"/>
      <c r="C21" s="9" t="s">
        <v>37</v>
      </c>
      <c r="D21" s="4"/>
      <c r="E21" s="9" t="s">
        <v>706</v>
      </c>
      <c r="F21" s="4"/>
      <c r="G21" s="4"/>
      <c r="H21" s="9" t="s">
        <v>708</v>
      </c>
      <c r="I21" s="9" t="s">
        <v>709</v>
      </c>
    </row>
    <row r="22" spans="2:9" ht="18" customHeight="1" x14ac:dyDescent="0.35">
      <c r="B22" s="4"/>
      <c r="C22" s="9" t="s">
        <v>20</v>
      </c>
      <c r="D22" s="4"/>
      <c r="E22" s="9" t="s">
        <v>707</v>
      </c>
      <c r="F22" s="4"/>
      <c r="G22" s="4"/>
      <c r="H22" s="9" t="s">
        <v>685</v>
      </c>
      <c r="I22" s="9" t="s">
        <v>710</v>
      </c>
    </row>
    <row r="23" spans="2:9" ht="18" customHeight="1" x14ac:dyDescent="0.35">
      <c r="B23" s="4"/>
      <c r="C23" s="4"/>
      <c r="D23" s="4"/>
      <c r="E23" s="4"/>
      <c r="F23" s="4"/>
      <c r="G23" s="4"/>
      <c r="H23" s="4"/>
      <c r="I23" s="4"/>
    </row>
    <row r="24" spans="2:9" ht="15.75" customHeight="1" x14ac:dyDescent="0.35">
      <c r="B24" s="30" t="s">
        <v>70</v>
      </c>
      <c r="C24" s="18"/>
      <c r="D24" s="18"/>
      <c r="E24" s="18"/>
      <c r="F24" s="18"/>
      <c r="G24" s="18"/>
      <c r="H24" s="18"/>
      <c r="I24" s="19"/>
    </row>
    <row r="25" spans="2:9" ht="18" customHeight="1" x14ac:dyDescent="0.35">
      <c r="B25" s="4"/>
      <c r="C25" s="9" t="s">
        <v>13</v>
      </c>
      <c r="D25" s="4"/>
      <c r="E25" s="9" t="s">
        <v>712</v>
      </c>
      <c r="F25" s="4"/>
      <c r="G25" s="4"/>
      <c r="H25" s="9" t="s">
        <v>685</v>
      </c>
      <c r="I25" s="9" t="s">
        <v>711</v>
      </c>
    </row>
    <row r="26" spans="2:9" ht="18" customHeight="1" x14ac:dyDescent="0.35">
      <c r="B26" s="4"/>
      <c r="C26" s="9" t="s">
        <v>31</v>
      </c>
      <c r="D26" s="4"/>
      <c r="E26" s="9" t="s">
        <v>713</v>
      </c>
      <c r="F26" s="4"/>
      <c r="G26" s="4"/>
      <c r="H26" s="9" t="s">
        <v>691</v>
      </c>
      <c r="I26" s="9" t="s">
        <v>714</v>
      </c>
    </row>
    <row r="27" spans="2:9" ht="18" customHeight="1" x14ac:dyDescent="0.35">
      <c r="B27" s="4"/>
      <c r="C27" s="4"/>
      <c r="D27" s="4"/>
      <c r="E27" s="4"/>
      <c r="F27" s="4"/>
      <c r="G27" s="4"/>
      <c r="H27" s="4"/>
      <c r="I27" s="4"/>
    </row>
    <row r="28" spans="2:9" ht="15.75" customHeight="1" x14ac:dyDescent="0.35">
      <c r="B28" s="30" t="s">
        <v>77</v>
      </c>
      <c r="C28" s="18"/>
      <c r="D28" s="18"/>
      <c r="E28" s="18"/>
      <c r="F28" s="18"/>
      <c r="G28" s="18"/>
      <c r="H28" s="18"/>
      <c r="I28" s="19"/>
    </row>
    <row r="29" spans="2:9" ht="18" customHeight="1" x14ac:dyDescent="0.35">
      <c r="B29" s="4"/>
      <c r="C29" s="9" t="s">
        <v>37</v>
      </c>
      <c r="D29" s="4"/>
      <c r="E29" s="9" t="s">
        <v>715</v>
      </c>
      <c r="F29" s="4"/>
      <c r="G29" s="4"/>
      <c r="H29" s="9" t="s">
        <v>685</v>
      </c>
      <c r="I29" s="9" t="s">
        <v>717</v>
      </c>
    </row>
    <row r="30" spans="2:9" ht="18" customHeight="1" x14ac:dyDescent="0.35">
      <c r="B30" s="4"/>
      <c r="C30" s="9" t="s">
        <v>26</v>
      </c>
      <c r="D30" s="4"/>
      <c r="E30" s="9" t="s">
        <v>716</v>
      </c>
      <c r="F30" s="4"/>
      <c r="G30" s="4"/>
      <c r="H30" s="9" t="s">
        <v>685</v>
      </c>
      <c r="I30" s="9" t="s">
        <v>718</v>
      </c>
    </row>
    <row r="31" spans="2:9" ht="18" customHeight="1" x14ac:dyDescent="0.35">
      <c r="B31" s="4"/>
      <c r="C31" s="4"/>
      <c r="D31" s="4"/>
      <c r="E31" s="4"/>
      <c r="F31" s="4"/>
      <c r="G31" s="4"/>
      <c r="H31" s="4"/>
      <c r="I31" s="4"/>
    </row>
    <row r="32" spans="2:9" ht="15.75" customHeight="1" x14ac:dyDescent="0.35">
      <c r="B32" s="30" t="s">
        <v>85</v>
      </c>
      <c r="C32" s="18"/>
      <c r="D32" s="18"/>
      <c r="E32" s="18"/>
      <c r="F32" s="18"/>
      <c r="G32" s="18"/>
      <c r="H32" s="18"/>
      <c r="I32" s="19"/>
    </row>
    <row r="33" spans="2:9" ht="18" customHeight="1" x14ac:dyDescent="0.35">
      <c r="B33" s="4"/>
      <c r="C33" s="9" t="s">
        <v>37</v>
      </c>
      <c r="D33" s="4"/>
      <c r="E33" s="9" t="s">
        <v>719</v>
      </c>
      <c r="F33" s="4"/>
      <c r="G33" s="4"/>
      <c r="H33" s="9" t="s">
        <v>691</v>
      </c>
      <c r="I33" s="9" t="s">
        <v>720</v>
      </c>
    </row>
    <row r="34" spans="2:9" ht="18" customHeight="1" x14ac:dyDescent="0.35">
      <c r="B34" s="4"/>
      <c r="C34" s="4"/>
      <c r="D34" s="4"/>
      <c r="E34" s="4"/>
      <c r="F34" s="4"/>
      <c r="G34" s="4"/>
      <c r="H34" s="4"/>
      <c r="I34" s="4"/>
    </row>
    <row r="35" spans="2:9" ht="18" customHeight="1" x14ac:dyDescent="0.35">
      <c r="B35" s="4"/>
      <c r="C35" s="4"/>
      <c r="D35" s="4"/>
      <c r="E35" s="4"/>
      <c r="F35" s="4"/>
      <c r="G35" s="4"/>
      <c r="H35" s="4"/>
      <c r="I35" s="4"/>
    </row>
    <row r="37" spans="2:9" ht="21.75" customHeight="1" x14ac:dyDescent="0.35">
      <c r="B37" s="36" t="s">
        <v>90</v>
      </c>
      <c r="C37" s="18"/>
      <c r="D37" s="18"/>
      <c r="E37" s="18"/>
      <c r="F37" s="18"/>
      <c r="G37" s="18"/>
      <c r="H37" s="18"/>
      <c r="I37" s="19"/>
    </row>
    <row r="38" spans="2:9" ht="13.5" customHeight="1" x14ac:dyDescent="0.35">
      <c r="B38" s="29" t="s">
        <v>91</v>
      </c>
      <c r="C38" s="21"/>
      <c r="D38" s="21"/>
      <c r="E38" s="21"/>
      <c r="F38" s="21"/>
      <c r="G38" s="21"/>
      <c r="H38" s="21"/>
      <c r="I38" s="21"/>
    </row>
    <row r="39" spans="2:9" ht="19.5" customHeight="1" x14ac:dyDescent="0.35">
      <c r="B39" s="1" t="s">
        <v>92</v>
      </c>
      <c r="C39" s="1" t="s">
        <v>93</v>
      </c>
      <c r="D39" s="1" t="s">
        <v>94</v>
      </c>
      <c r="E39" s="24" t="s">
        <v>95</v>
      </c>
      <c r="F39" s="18"/>
      <c r="G39" s="18"/>
      <c r="H39" s="18"/>
      <c r="I39" s="19"/>
    </row>
    <row r="40" spans="2:9" ht="21.75" customHeight="1" x14ac:dyDescent="0.35">
      <c r="B40" s="22" t="s">
        <v>96</v>
      </c>
      <c r="C40" s="18"/>
      <c r="D40" s="19"/>
      <c r="E40" s="70" t="s">
        <v>721</v>
      </c>
      <c r="F40" s="18"/>
      <c r="G40" s="18"/>
      <c r="H40" s="18"/>
      <c r="I40" s="19"/>
    </row>
    <row r="41" spans="2:9" ht="32.5" customHeight="1" x14ac:dyDescent="0.35">
      <c r="B41" s="23" t="s">
        <v>98</v>
      </c>
      <c r="C41" s="18"/>
      <c r="D41" s="19"/>
      <c r="E41" s="70" t="s">
        <v>722</v>
      </c>
      <c r="F41" s="18"/>
      <c r="G41" s="18"/>
      <c r="H41" s="18"/>
      <c r="I41" s="19"/>
    </row>
    <row r="42" spans="2:9" ht="21.75" customHeight="1" x14ac:dyDescent="0.35">
      <c r="B42" s="23" t="s">
        <v>100</v>
      </c>
      <c r="C42" s="18"/>
      <c r="D42" s="19"/>
      <c r="E42" s="70" t="s">
        <v>723</v>
      </c>
      <c r="F42" s="18"/>
      <c r="G42" s="18"/>
      <c r="H42" s="18"/>
      <c r="I42" s="19"/>
    </row>
    <row r="43" spans="2:9" ht="21.75" customHeight="1" x14ac:dyDescent="0.35">
      <c r="B43" s="23" t="s">
        <v>102</v>
      </c>
      <c r="C43" s="18"/>
      <c r="D43" s="19"/>
      <c r="E43" s="70" t="s">
        <v>724</v>
      </c>
      <c r="F43" s="18"/>
      <c r="G43" s="18"/>
      <c r="H43" s="18"/>
      <c r="I43" s="19"/>
    </row>
    <row r="44" spans="2:9" ht="21.75" customHeight="1" x14ac:dyDescent="0.35">
      <c r="B44" s="22" t="s">
        <v>104</v>
      </c>
      <c r="C44" s="18"/>
      <c r="D44" s="19"/>
      <c r="E44" s="70" t="s">
        <v>725</v>
      </c>
      <c r="F44" s="18"/>
      <c r="G44" s="18"/>
      <c r="H44" s="18"/>
      <c r="I44" s="19"/>
    </row>
    <row r="45" spans="2:9" ht="39" customHeight="1" x14ac:dyDescent="0.35">
      <c r="B45" s="23" t="s">
        <v>98</v>
      </c>
      <c r="C45" s="18"/>
      <c r="D45" s="19"/>
      <c r="E45" s="70" t="s">
        <v>726</v>
      </c>
      <c r="F45" s="18"/>
      <c r="G45" s="18"/>
      <c r="H45" s="18"/>
      <c r="I45" s="19"/>
    </row>
    <row r="46" spans="2:9" ht="21.75" customHeight="1" x14ac:dyDescent="0.35">
      <c r="B46" s="23" t="s">
        <v>100</v>
      </c>
      <c r="C46" s="18"/>
      <c r="D46" s="19"/>
      <c r="E46" s="70" t="s">
        <v>727</v>
      </c>
      <c r="F46" s="18"/>
      <c r="G46" s="18"/>
      <c r="H46" s="18"/>
      <c r="I46" s="19"/>
    </row>
    <row r="47" spans="2:9" ht="21.75" customHeight="1" x14ac:dyDescent="0.35">
      <c r="B47" s="23" t="s">
        <v>102</v>
      </c>
      <c r="C47" s="18"/>
      <c r="D47" s="19"/>
      <c r="E47" s="70" t="s">
        <v>728</v>
      </c>
      <c r="F47" s="18"/>
      <c r="G47" s="18"/>
      <c r="H47" s="18"/>
      <c r="I47" s="19"/>
    </row>
    <row r="48" spans="2:9" ht="21.75" customHeight="1" x14ac:dyDescent="0.35">
      <c r="B48" s="22" t="s">
        <v>109</v>
      </c>
      <c r="C48" s="18"/>
      <c r="D48" s="19"/>
      <c r="E48" s="70" t="s">
        <v>731</v>
      </c>
      <c r="F48" s="18"/>
      <c r="G48" s="18"/>
      <c r="H48" s="18"/>
      <c r="I48" s="19"/>
    </row>
    <row r="49" spans="2:9" ht="38" customHeight="1" x14ac:dyDescent="0.35">
      <c r="B49" s="23" t="s">
        <v>98</v>
      </c>
      <c r="C49" s="18"/>
      <c r="D49" s="19"/>
      <c r="E49" s="70" t="s">
        <v>730</v>
      </c>
      <c r="F49" s="18"/>
      <c r="G49" s="18"/>
      <c r="H49" s="18"/>
      <c r="I49" s="19"/>
    </row>
    <row r="50" spans="2:9" ht="21.75" customHeight="1" x14ac:dyDescent="0.35">
      <c r="B50" s="23" t="s">
        <v>100</v>
      </c>
      <c r="C50" s="18"/>
      <c r="D50" s="19"/>
      <c r="E50" s="70" t="s">
        <v>729</v>
      </c>
      <c r="F50" s="18"/>
      <c r="G50" s="18"/>
      <c r="H50" s="18"/>
      <c r="I50" s="19"/>
    </row>
    <row r="51" spans="2:9" ht="21.75" customHeight="1" x14ac:dyDescent="0.35">
      <c r="B51" s="23" t="s">
        <v>102</v>
      </c>
      <c r="C51" s="18"/>
      <c r="D51" s="19"/>
      <c r="E51" s="70" t="s">
        <v>732</v>
      </c>
      <c r="F51" s="18"/>
      <c r="G51" s="18"/>
      <c r="H51" s="18"/>
      <c r="I51" s="19"/>
    </row>
    <row r="52" spans="2:9" ht="21.75" customHeight="1" x14ac:dyDescent="0.35">
      <c r="B52" s="22" t="s">
        <v>114</v>
      </c>
      <c r="C52" s="18"/>
      <c r="D52" s="19"/>
      <c r="E52" s="70" t="s">
        <v>733</v>
      </c>
      <c r="F52" s="18"/>
      <c r="G52" s="18"/>
      <c r="H52" s="18"/>
      <c r="I52" s="19"/>
    </row>
    <row r="53" spans="2:9" ht="37" customHeight="1" x14ac:dyDescent="0.35">
      <c r="B53" s="23" t="s">
        <v>98</v>
      </c>
      <c r="C53" s="18"/>
      <c r="D53" s="19"/>
      <c r="E53" s="70" t="s">
        <v>734</v>
      </c>
      <c r="F53" s="18"/>
      <c r="G53" s="18"/>
      <c r="H53" s="18"/>
      <c r="I53" s="19"/>
    </row>
    <row r="54" spans="2:9" ht="21.75" customHeight="1" x14ac:dyDescent="0.35">
      <c r="B54" s="23" t="s">
        <v>100</v>
      </c>
      <c r="C54" s="18"/>
      <c r="D54" s="19"/>
      <c r="E54" s="70" t="s">
        <v>735</v>
      </c>
      <c r="F54" s="18"/>
      <c r="G54" s="18"/>
      <c r="H54" s="18"/>
      <c r="I54" s="19"/>
    </row>
    <row r="55" spans="2:9" ht="21.75" customHeight="1" x14ac:dyDescent="0.35">
      <c r="B55" s="23" t="s">
        <v>102</v>
      </c>
      <c r="C55" s="18"/>
      <c r="D55" s="19"/>
      <c r="E55" s="70" t="s">
        <v>736</v>
      </c>
      <c r="F55" s="18"/>
      <c r="G55" s="18"/>
      <c r="H55" s="18"/>
      <c r="I55" s="19"/>
    </row>
    <row r="56" spans="2:9" x14ac:dyDescent="0.35">
      <c r="E56" s="17"/>
      <c r="F56" s="18"/>
      <c r="G56" s="18"/>
      <c r="H56" s="18"/>
      <c r="I56" s="19"/>
    </row>
    <row r="57" spans="2:9" ht="21.75" customHeight="1" x14ac:dyDescent="0.35">
      <c r="B57" s="35" t="s">
        <v>119</v>
      </c>
      <c r="C57" s="18"/>
      <c r="D57" s="18"/>
      <c r="E57" s="18"/>
      <c r="F57" s="18"/>
      <c r="G57" s="18"/>
      <c r="H57" s="18"/>
      <c r="I57" s="19"/>
    </row>
    <row r="58" spans="2:9" ht="13.5" customHeight="1" x14ac:dyDescent="0.35">
      <c r="B58" s="29" t="s">
        <v>120</v>
      </c>
      <c r="C58" s="21"/>
      <c r="D58" s="21"/>
      <c r="E58" s="21"/>
      <c r="F58" s="21"/>
      <c r="G58" s="21"/>
      <c r="H58" s="21"/>
      <c r="I58" s="21"/>
    </row>
    <row r="59" spans="2:9" ht="18" customHeight="1" x14ac:dyDescent="0.35">
      <c r="B59" s="73" t="s">
        <v>121</v>
      </c>
      <c r="C59" s="18"/>
      <c r="D59" s="18"/>
      <c r="E59" s="18"/>
      <c r="F59" s="18"/>
      <c r="G59" s="18"/>
      <c r="H59" s="18"/>
      <c r="I59" s="19"/>
    </row>
    <row r="60" spans="2:9" ht="18" customHeight="1" x14ac:dyDescent="0.35">
      <c r="B60" s="25" t="s">
        <v>122</v>
      </c>
      <c r="C60" s="18"/>
      <c r="D60" s="19"/>
      <c r="E60" s="71" t="s">
        <v>737</v>
      </c>
      <c r="F60" s="21"/>
      <c r="G60" s="21"/>
      <c r="H60" s="21"/>
      <c r="I60" s="21"/>
    </row>
    <row r="61" spans="2:9" ht="18" customHeight="1" x14ac:dyDescent="0.35">
      <c r="B61" s="25" t="s">
        <v>124</v>
      </c>
      <c r="C61" s="18"/>
      <c r="D61" s="19"/>
      <c r="E61" s="71" t="s">
        <v>738</v>
      </c>
      <c r="F61" s="21"/>
      <c r="G61" s="21"/>
      <c r="H61" s="21"/>
      <c r="I61" s="21"/>
    </row>
    <row r="62" spans="2:9" ht="42.5" customHeight="1" x14ac:dyDescent="0.35">
      <c r="B62" s="25" t="s">
        <v>126</v>
      </c>
      <c r="C62" s="18"/>
      <c r="D62" s="19"/>
      <c r="E62" s="71" t="s">
        <v>739</v>
      </c>
      <c r="F62" s="21"/>
      <c r="G62" s="21"/>
      <c r="H62" s="21"/>
      <c r="I62" s="21"/>
    </row>
    <row r="63" spans="2:9" ht="18" customHeight="1" x14ac:dyDescent="0.35">
      <c r="B63" s="25" t="s">
        <v>128</v>
      </c>
      <c r="C63" s="18"/>
      <c r="D63" s="19"/>
      <c r="E63" s="71" t="s">
        <v>740</v>
      </c>
      <c r="F63" s="21"/>
      <c r="G63" s="21"/>
      <c r="H63" s="21"/>
      <c r="I63" s="21"/>
    </row>
    <row r="64" spans="2:9" ht="18" customHeight="1" x14ac:dyDescent="0.35">
      <c r="B64" s="25" t="s">
        <v>130</v>
      </c>
      <c r="C64" s="18"/>
      <c r="D64" s="19"/>
      <c r="E64" s="71" t="s">
        <v>741</v>
      </c>
      <c r="F64" s="21"/>
      <c r="G64" s="21"/>
      <c r="H64" s="21"/>
      <c r="I64" s="21"/>
    </row>
    <row r="66" spans="2:9" ht="18" customHeight="1" x14ac:dyDescent="0.35">
      <c r="B66" s="27" t="s">
        <v>132</v>
      </c>
      <c r="C66" s="18"/>
      <c r="D66" s="18"/>
      <c r="E66" s="18"/>
      <c r="F66" s="18"/>
      <c r="G66" s="18"/>
      <c r="H66" s="18"/>
      <c r="I66" s="19"/>
    </row>
    <row r="67" spans="2:9" ht="18" customHeight="1" x14ac:dyDescent="0.35">
      <c r="B67" s="25" t="s">
        <v>122</v>
      </c>
      <c r="C67" s="18"/>
      <c r="D67" s="19"/>
      <c r="E67" s="71" t="s">
        <v>742</v>
      </c>
      <c r="F67" s="21"/>
      <c r="G67" s="21"/>
      <c r="H67" s="21"/>
      <c r="I67" s="21"/>
    </row>
    <row r="68" spans="2:9" ht="18" customHeight="1" x14ac:dyDescent="0.35">
      <c r="B68" s="25" t="s">
        <v>124</v>
      </c>
      <c r="C68" s="18"/>
      <c r="D68" s="19"/>
      <c r="E68" s="71" t="s">
        <v>743</v>
      </c>
      <c r="F68" s="21"/>
      <c r="G68" s="21"/>
      <c r="H68" s="21"/>
      <c r="I68" s="21"/>
    </row>
    <row r="69" spans="2:9" ht="40.5" customHeight="1" x14ac:dyDescent="0.35">
      <c r="B69" s="25" t="s">
        <v>126</v>
      </c>
      <c r="C69" s="18"/>
      <c r="D69" s="19"/>
      <c r="E69" s="71" t="s">
        <v>744</v>
      </c>
      <c r="F69" s="21"/>
      <c r="G69" s="21"/>
      <c r="H69" s="21"/>
      <c r="I69" s="21"/>
    </row>
    <row r="70" spans="2:9" ht="18" customHeight="1" x14ac:dyDescent="0.35">
      <c r="B70" s="25" t="s">
        <v>128</v>
      </c>
      <c r="C70" s="18"/>
      <c r="D70" s="19"/>
      <c r="E70" s="71" t="s">
        <v>745</v>
      </c>
      <c r="F70" s="21"/>
      <c r="G70" s="21"/>
      <c r="H70" s="21"/>
      <c r="I70" s="21"/>
    </row>
    <row r="71" spans="2:9" ht="18" customHeight="1" x14ac:dyDescent="0.35">
      <c r="B71" s="25" t="s">
        <v>130</v>
      </c>
      <c r="C71" s="18"/>
      <c r="D71" s="19"/>
      <c r="E71" s="71" t="s">
        <v>746</v>
      </c>
      <c r="F71" s="21"/>
      <c r="G71" s="21"/>
      <c r="H71" s="21"/>
      <c r="I71" s="21"/>
    </row>
    <row r="73" spans="2:9" ht="18" customHeight="1" x14ac:dyDescent="0.35">
      <c r="B73" s="27" t="s">
        <v>138</v>
      </c>
      <c r="C73" s="18"/>
      <c r="D73" s="18"/>
      <c r="E73" s="18"/>
      <c r="F73" s="18"/>
      <c r="G73" s="18"/>
      <c r="H73" s="18"/>
      <c r="I73" s="19"/>
    </row>
    <row r="74" spans="2:9" ht="18" customHeight="1" x14ac:dyDescent="0.35">
      <c r="B74" s="25" t="s">
        <v>122</v>
      </c>
      <c r="C74" s="18"/>
      <c r="D74" s="19"/>
      <c r="E74" s="68" t="s">
        <v>747</v>
      </c>
      <c r="F74" s="18"/>
      <c r="G74" s="18"/>
      <c r="H74" s="18"/>
      <c r="I74" s="19"/>
    </row>
    <row r="75" spans="2:9" ht="18" customHeight="1" x14ac:dyDescent="0.35">
      <c r="B75" s="25" t="s">
        <v>124</v>
      </c>
      <c r="C75" s="18"/>
      <c r="D75" s="19"/>
      <c r="E75" s="68" t="s">
        <v>748</v>
      </c>
      <c r="F75" s="18"/>
      <c r="G75" s="18"/>
      <c r="H75" s="18"/>
      <c r="I75" s="19"/>
    </row>
    <row r="76" spans="2:9" ht="30" customHeight="1" x14ac:dyDescent="0.35">
      <c r="B76" s="25" t="s">
        <v>126</v>
      </c>
      <c r="C76" s="18"/>
      <c r="D76" s="19"/>
      <c r="E76" s="68" t="s">
        <v>749</v>
      </c>
      <c r="F76" s="18"/>
      <c r="G76" s="18"/>
      <c r="H76" s="18"/>
      <c r="I76" s="19"/>
    </row>
    <row r="77" spans="2:9" ht="18" customHeight="1" x14ac:dyDescent="0.35">
      <c r="B77" s="25" t="s">
        <v>128</v>
      </c>
      <c r="C77" s="18"/>
      <c r="D77" s="19"/>
      <c r="E77" s="68" t="s">
        <v>750</v>
      </c>
      <c r="F77" s="18"/>
      <c r="G77" s="18"/>
      <c r="H77" s="18"/>
      <c r="I77" s="19"/>
    </row>
    <row r="78" spans="2:9" ht="18" customHeight="1" x14ac:dyDescent="0.35">
      <c r="B78" s="25" t="s">
        <v>130</v>
      </c>
      <c r="C78" s="18"/>
      <c r="D78" s="19"/>
      <c r="E78" s="68" t="s">
        <v>751</v>
      </c>
      <c r="F78" s="18"/>
      <c r="G78" s="18"/>
      <c r="H78" s="18"/>
      <c r="I78" s="19"/>
    </row>
    <row r="80" spans="2:9" ht="18" customHeight="1" x14ac:dyDescent="0.35">
      <c r="B80" s="73" t="s">
        <v>144</v>
      </c>
      <c r="C80" s="18"/>
      <c r="D80" s="18"/>
      <c r="E80" s="18"/>
      <c r="F80" s="18"/>
      <c r="G80" s="18"/>
      <c r="H80" s="18"/>
      <c r="I80" s="19"/>
    </row>
    <row r="81" spans="2:9" ht="18" customHeight="1" x14ac:dyDescent="0.35">
      <c r="B81" s="25" t="s">
        <v>122</v>
      </c>
      <c r="C81" s="18"/>
      <c r="D81" s="19"/>
      <c r="E81" s="68" t="s">
        <v>752</v>
      </c>
      <c r="F81" s="18"/>
      <c r="G81" s="18"/>
      <c r="H81" s="18"/>
      <c r="I81" s="19"/>
    </row>
    <row r="82" spans="2:9" ht="18" customHeight="1" x14ac:dyDescent="0.35">
      <c r="B82" s="25" t="s">
        <v>124</v>
      </c>
      <c r="C82" s="18"/>
      <c r="D82" s="19"/>
      <c r="E82" s="68" t="s">
        <v>753</v>
      </c>
      <c r="F82" s="18"/>
      <c r="G82" s="18"/>
      <c r="H82" s="18"/>
      <c r="I82" s="19"/>
    </row>
    <row r="83" spans="2:9" ht="35" customHeight="1" x14ac:dyDescent="0.35">
      <c r="B83" s="25" t="s">
        <v>126</v>
      </c>
      <c r="C83" s="18"/>
      <c r="D83" s="19"/>
      <c r="E83" s="68" t="s">
        <v>754</v>
      </c>
      <c r="F83" s="18"/>
      <c r="G83" s="18"/>
      <c r="H83" s="18"/>
      <c r="I83" s="19"/>
    </row>
    <row r="84" spans="2:9" ht="18" customHeight="1" x14ac:dyDescent="0.35">
      <c r="B84" s="25" t="s">
        <v>128</v>
      </c>
      <c r="C84" s="18"/>
      <c r="D84" s="19"/>
      <c r="E84" s="68" t="s">
        <v>755</v>
      </c>
      <c r="F84" s="18"/>
      <c r="G84" s="18"/>
      <c r="H84" s="18"/>
      <c r="I84" s="19"/>
    </row>
    <row r="85" spans="2:9" ht="18" customHeight="1" x14ac:dyDescent="0.35">
      <c r="B85" s="25" t="s">
        <v>130</v>
      </c>
      <c r="C85" s="18"/>
      <c r="D85" s="19"/>
      <c r="E85" s="68" t="s">
        <v>756</v>
      </c>
      <c r="F85" s="18"/>
      <c r="G85" s="18"/>
      <c r="H85" s="18"/>
      <c r="I85" s="19"/>
    </row>
    <row r="87" spans="2:9" ht="18" customHeight="1" x14ac:dyDescent="0.35">
      <c r="B87" s="27" t="s">
        <v>150</v>
      </c>
      <c r="C87" s="18"/>
      <c r="D87" s="18"/>
      <c r="E87" s="18"/>
      <c r="F87" s="18"/>
      <c r="G87" s="18"/>
      <c r="H87" s="18"/>
      <c r="I87" s="19"/>
    </row>
    <row r="88" spans="2:9" ht="18" customHeight="1" x14ac:dyDescent="0.35">
      <c r="B88" s="25" t="s">
        <v>122</v>
      </c>
      <c r="C88" s="18"/>
      <c r="D88" s="19"/>
      <c r="E88" s="68" t="s">
        <v>757</v>
      </c>
      <c r="F88" s="18"/>
      <c r="G88" s="18"/>
      <c r="H88" s="18"/>
      <c r="I88" s="19"/>
    </row>
    <row r="89" spans="2:9" ht="18" customHeight="1" x14ac:dyDescent="0.35">
      <c r="B89" s="25" t="s">
        <v>124</v>
      </c>
      <c r="C89" s="18"/>
      <c r="D89" s="19"/>
      <c r="E89" s="68" t="s">
        <v>758</v>
      </c>
      <c r="F89" s="18"/>
      <c r="G89" s="18"/>
      <c r="H89" s="18"/>
      <c r="I89" s="19"/>
    </row>
    <row r="90" spans="2:9" ht="34.5" customHeight="1" x14ac:dyDescent="0.35">
      <c r="B90" s="25" t="s">
        <v>126</v>
      </c>
      <c r="C90" s="18"/>
      <c r="D90" s="19"/>
      <c r="E90" s="68" t="s">
        <v>759</v>
      </c>
      <c r="F90" s="18"/>
      <c r="G90" s="18"/>
      <c r="H90" s="18"/>
      <c r="I90" s="19"/>
    </row>
    <row r="91" spans="2:9" ht="18" customHeight="1" x14ac:dyDescent="0.35">
      <c r="B91" s="25" t="s">
        <v>128</v>
      </c>
      <c r="C91" s="18"/>
      <c r="D91" s="19"/>
      <c r="E91" s="68" t="s">
        <v>760</v>
      </c>
      <c r="F91" s="18"/>
      <c r="G91" s="18"/>
      <c r="H91" s="18"/>
      <c r="I91" s="19"/>
    </row>
    <row r="92" spans="2:9" ht="18" customHeight="1" x14ac:dyDescent="0.35">
      <c r="B92" s="25" t="s">
        <v>130</v>
      </c>
      <c r="C92" s="18"/>
      <c r="D92" s="19"/>
      <c r="E92" s="68" t="s">
        <v>761</v>
      </c>
      <c r="F92" s="18"/>
      <c r="G92" s="18"/>
      <c r="H92" s="18"/>
      <c r="I92" s="19"/>
    </row>
    <row r="94" spans="2:9" ht="15.75" customHeight="1" x14ac:dyDescent="0.35">
      <c r="B94" s="31" t="s">
        <v>450</v>
      </c>
      <c r="C94" s="18"/>
      <c r="D94" s="18"/>
      <c r="E94" s="18"/>
      <c r="F94" s="18"/>
      <c r="G94" s="18"/>
      <c r="H94" s="18"/>
      <c r="I94" s="19"/>
    </row>
  </sheetData>
  <mergeCells count="106">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E68:I68"/>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E55:I55"/>
    <mergeCell ref="E52:I52"/>
    <mergeCell ref="E67:I67"/>
    <mergeCell ref="B44:D44"/>
    <mergeCell ref="B53:D53"/>
    <mergeCell ref="E39:I39"/>
    <mergeCell ref="E48:I48"/>
    <mergeCell ref="E60:I60"/>
    <mergeCell ref="B51:D51"/>
    <mergeCell ref="B41:D4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I94"/>
  <sheetViews>
    <sheetView showGridLines="0" topLeftCell="A69" zoomScaleNormal="100" workbookViewId="0">
      <selection activeCell="E71" sqref="E71"/>
    </sheetView>
  </sheetViews>
  <sheetFormatPr defaultColWidth="8.54296875" defaultRowHeight="14.5" x14ac:dyDescent="0.35"/>
  <cols>
    <col min="1" max="1" width="3" customWidth="1"/>
    <col min="2" max="2" width="12" customWidth="1"/>
    <col min="3" max="3" width="6" customWidth="1"/>
    <col min="4" max="4" width="12.7265625" customWidth="1"/>
    <col min="5" max="5" width="32" customWidth="1"/>
    <col min="6" max="6" width="20" customWidth="1"/>
    <col min="7" max="7" width="12" customWidth="1"/>
    <col min="8" max="8" width="28" customWidth="1"/>
    <col min="9" max="9" width="22" customWidth="1"/>
  </cols>
  <sheetData>
    <row r="1" spans="2:9" ht="13.5" customHeight="1" x14ac:dyDescent="0.35"/>
    <row r="2" spans="2:9" ht="33.75" customHeight="1" x14ac:dyDescent="0.35">
      <c r="B2" s="33" t="s">
        <v>235</v>
      </c>
      <c r="C2" s="18"/>
      <c r="D2" s="18"/>
      <c r="E2" s="18"/>
      <c r="F2" s="18"/>
      <c r="G2" s="18"/>
      <c r="H2" s="18"/>
      <c r="I2" s="19"/>
    </row>
    <row r="3" spans="2:9" ht="15.75" customHeight="1" x14ac:dyDescent="0.35">
      <c r="B3" s="32" t="s">
        <v>1</v>
      </c>
      <c r="C3" s="21"/>
      <c r="D3" s="21"/>
      <c r="E3" s="21"/>
      <c r="F3" s="21"/>
      <c r="G3" s="21"/>
      <c r="H3" s="21"/>
      <c r="I3" s="21"/>
    </row>
    <row r="5" spans="2:9" ht="21.75" customHeight="1" x14ac:dyDescent="0.35">
      <c r="B5" s="28" t="s">
        <v>2</v>
      </c>
      <c r="C5" s="18"/>
      <c r="D5" s="18"/>
      <c r="E5" s="18"/>
      <c r="F5" s="18"/>
      <c r="G5" s="18"/>
      <c r="H5" s="18"/>
      <c r="I5" s="19"/>
    </row>
    <row r="6" spans="2:9" ht="13.5" customHeight="1" x14ac:dyDescent="0.35">
      <c r="B6" s="29" t="s">
        <v>3</v>
      </c>
      <c r="C6" s="21"/>
      <c r="D6" s="21"/>
      <c r="E6" s="21"/>
      <c r="F6" s="21"/>
      <c r="G6" s="21"/>
      <c r="H6" s="21"/>
      <c r="I6" s="21"/>
    </row>
    <row r="7" spans="2:9" ht="19.5" customHeight="1" x14ac:dyDescent="0.35">
      <c r="B7" s="5" t="s">
        <v>4</v>
      </c>
      <c r="C7" s="5" t="s">
        <v>5</v>
      </c>
      <c r="D7" s="5" t="s">
        <v>6</v>
      </c>
      <c r="E7" s="5" t="s">
        <v>7</v>
      </c>
      <c r="F7" s="5" t="s">
        <v>8</v>
      </c>
      <c r="G7" s="5" t="s">
        <v>9</v>
      </c>
      <c r="H7" s="5" t="s">
        <v>10</v>
      </c>
      <c r="I7" s="5" t="s">
        <v>11</v>
      </c>
    </row>
    <row r="8" spans="2:9" ht="18" customHeight="1" x14ac:dyDescent="0.35">
      <c r="B8" s="4"/>
      <c r="C8" s="4"/>
      <c r="D8" s="4"/>
      <c r="E8" s="4"/>
      <c r="F8" s="4"/>
      <c r="G8" s="4"/>
      <c r="H8" s="4"/>
      <c r="I8" s="4"/>
    </row>
    <row r="9" spans="2:9" ht="18" customHeight="1" x14ac:dyDescent="0.35">
      <c r="B9" s="4"/>
      <c r="C9" s="4"/>
      <c r="D9" s="4"/>
      <c r="E9" s="4"/>
      <c r="F9" s="4"/>
      <c r="G9" s="4"/>
      <c r="H9" s="4"/>
      <c r="I9" s="4"/>
    </row>
    <row r="10" spans="2:9" ht="18" customHeight="1" x14ac:dyDescent="0.35">
      <c r="B10" s="4"/>
      <c r="C10" s="4"/>
      <c r="D10" s="4"/>
      <c r="E10" s="4"/>
      <c r="F10" s="4"/>
      <c r="G10" s="4"/>
      <c r="H10" s="4"/>
      <c r="I10" s="4"/>
    </row>
    <row r="11" spans="2:9" ht="18" customHeight="1" x14ac:dyDescent="0.35">
      <c r="B11" s="4"/>
      <c r="C11" s="4"/>
      <c r="D11" s="4"/>
      <c r="E11" s="4"/>
      <c r="F11" s="4"/>
      <c r="G11" s="4"/>
      <c r="H11" s="4"/>
      <c r="I11" s="4"/>
    </row>
    <row r="12" spans="2:9" ht="18" customHeight="1" x14ac:dyDescent="0.35">
      <c r="B12" s="4"/>
      <c r="C12" s="4"/>
      <c r="D12" s="4"/>
      <c r="E12" s="4"/>
      <c r="F12" s="4"/>
      <c r="G12" s="4"/>
      <c r="H12" s="4"/>
      <c r="I12" s="4"/>
    </row>
    <row r="13" spans="2:9" ht="18" customHeight="1" x14ac:dyDescent="0.35">
      <c r="B13" s="4"/>
      <c r="C13" s="4"/>
      <c r="D13" s="4"/>
      <c r="E13" s="4"/>
      <c r="F13" s="4"/>
      <c r="G13" s="4"/>
      <c r="H13" s="4"/>
      <c r="I13" s="4"/>
    </row>
    <row r="14" spans="2:9" ht="18" customHeight="1" x14ac:dyDescent="0.35">
      <c r="B14" s="4"/>
      <c r="C14" s="4"/>
      <c r="D14" s="4"/>
      <c r="E14" s="4"/>
      <c r="F14" s="4"/>
      <c r="G14" s="4"/>
      <c r="H14" s="4"/>
      <c r="I14" s="4"/>
    </row>
    <row r="15" spans="2:9" ht="18" customHeight="1" x14ac:dyDescent="0.35">
      <c r="B15" s="4"/>
      <c r="C15" s="4"/>
      <c r="D15" s="4"/>
      <c r="E15" s="4"/>
      <c r="F15" s="4"/>
      <c r="G15" s="4"/>
      <c r="H15" s="4"/>
      <c r="I15" s="4"/>
    </row>
    <row r="17" spans="2:9" ht="21.75" customHeight="1" x14ac:dyDescent="0.35">
      <c r="B17" s="26" t="s">
        <v>55</v>
      </c>
      <c r="C17" s="18"/>
      <c r="D17" s="18"/>
      <c r="E17" s="18"/>
      <c r="F17" s="18"/>
      <c r="G17" s="18"/>
      <c r="H17" s="18"/>
      <c r="I17" s="19"/>
    </row>
    <row r="18" spans="2:9" ht="13.5" customHeight="1" x14ac:dyDescent="0.35">
      <c r="B18" s="29" t="s">
        <v>56</v>
      </c>
      <c r="C18" s="21"/>
      <c r="D18" s="21"/>
      <c r="E18" s="21"/>
      <c r="F18" s="21"/>
      <c r="G18" s="21"/>
      <c r="H18" s="21"/>
      <c r="I18" s="21"/>
    </row>
    <row r="19" spans="2:9" ht="19.5" customHeight="1" x14ac:dyDescent="0.35">
      <c r="B19" s="2" t="s">
        <v>57</v>
      </c>
      <c r="C19" s="2" t="s">
        <v>5</v>
      </c>
      <c r="D19" s="34" t="s">
        <v>58</v>
      </c>
      <c r="E19" s="18"/>
      <c r="F19" s="19"/>
      <c r="G19" s="34" t="s">
        <v>59</v>
      </c>
      <c r="H19" s="19"/>
      <c r="I19" s="2" t="s">
        <v>60</v>
      </c>
    </row>
    <row r="20" spans="2:9" ht="15.75" customHeight="1" x14ac:dyDescent="0.35">
      <c r="B20" s="30" t="s">
        <v>61</v>
      </c>
      <c r="C20" s="18"/>
      <c r="D20" s="18"/>
      <c r="E20" s="18"/>
      <c r="F20" s="18"/>
      <c r="G20" s="18"/>
      <c r="H20" s="18"/>
      <c r="I20" s="19"/>
    </row>
    <row r="21" spans="2:9" ht="18" customHeight="1" x14ac:dyDescent="0.35">
      <c r="B21" s="4"/>
      <c r="C21" s="4"/>
      <c r="D21" s="4"/>
      <c r="E21" s="4"/>
      <c r="F21" s="4"/>
      <c r="G21" s="4"/>
      <c r="H21" s="4"/>
      <c r="I21" s="4"/>
    </row>
    <row r="22" spans="2:9" ht="18" customHeight="1" x14ac:dyDescent="0.35">
      <c r="B22" s="4"/>
      <c r="C22" s="4"/>
      <c r="D22" s="4"/>
      <c r="E22" s="4"/>
      <c r="F22" s="4"/>
      <c r="G22" s="4"/>
      <c r="H22" s="4"/>
      <c r="I22" s="4"/>
    </row>
    <row r="23" spans="2:9" ht="18" customHeight="1" x14ac:dyDescent="0.35">
      <c r="B23" s="4"/>
      <c r="C23" s="4"/>
      <c r="D23" s="4"/>
      <c r="E23" s="4"/>
      <c r="F23" s="4"/>
      <c r="G23" s="4"/>
      <c r="H23" s="4"/>
      <c r="I23" s="4"/>
    </row>
    <row r="24" spans="2:9" ht="15.75" customHeight="1" x14ac:dyDescent="0.35">
      <c r="B24" s="30" t="s">
        <v>70</v>
      </c>
      <c r="C24" s="18"/>
      <c r="D24" s="18"/>
      <c r="E24" s="18"/>
      <c r="F24" s="18"/>
      <c r="G24" s="18"/>
      <c r="H24" s="18"/>
      <c r="I24" s="19"/>
    </row>
    <row r="25" spans="2:9" ht="18" customHeight="1" x14ac:dyDescent="0.35">
      <c r="B25" s="4"/>
      <c r="C25" s="4"/>
      <c r="D25" s="4"/>
      <c r="E25" s="4"/>
      <c r="F25" s="4"/>
      <c r="G25" s="4"/>
      <c r="H25" s="4"/>
      <c r="I25" s="4"/>
    </row>
    <row r="26" spans="2:9" ht="18" customHeight="1" x14ac:dyDescent="0.35">
      <c r="B26" s="4"/>
      <c r="C26" s="4"/>
      <c r="D26" s="4"/>
      <c r="E26" s="4"/>
      <c r="F26" s="4"/>
      <c r="G26" s="4"/>
      <c r="H26" s="4"/>
      <c r="I26" s="4"/>
    </row>
    <row r="27" spans="2:9" ht="18" customHeight="1" x14ac:dyDescent="0.35">
      <c r="B27" s="4"/>
      <c r="C27" s="4"/>
      <c r="D27" s="4"/>
      <c r="E27" s="4"/>
      <c r="F27" s="4"/>
      <c r="G27" s="4"/>
      <c r="H27" s="4"/>
      <c r="I27" s="4"/>
    </row>
    <row r="28" spans="2:9" ht="15.75" customHeight="1" x14ac:dyDescent="0.35">
      <c r="B28" s="30" t="s">
        <v>77</v>
      </c>
      <c r="C28" s="18"/>
      <c r="D28" s="18"/>
      <c r="E28" s="18"/>
      <c r="F28" s="18"/>
      <c r="G28" s="18"/>
      <c r="H28" s="18"/>
      <c r="I28" s="19"/>
    </row>
    <row r="29" spans="2:9" ht="18" customHeight="1" x14ac:dyDescent="0.35">
      <c r="B29" s="4"/>
      <c r="C29" s="4"/>
      <c r="D29" s="4"/>
      <c r="E29" s="4"/>
      <c r="F29" s="4"/>
      <c r="G29" s="4"/>
      <c r="H29" s="4"/>
      <c r="I29" s="4"/>
    </row>
    <row r="30" spans="2:9" ht="18" customHeight="1" x14ac:dyDescent="0.35">
      <c r="B30" s="4"/>
      <c r="C30" s="4"/>
      <c r="D30" s="4"/>
      <c r="E30" s="4"/>
      <c r="F30" s="4"/>
      <c r="G30" s="4"/>
      <c r="H30" s="4"/>
      <c r="I30" s="4"/>
    </row>
    <row r="31" spans="2:9" ht="18" customHeight="1" x14ac:dyDescent="0.35">
      <c r="B31" s="4"/>
      <c r="C31" s="4"/>
      <c r="D31" s="4"/>
      <c r="E31" s="4"/>
      <c r="F31" s="4"/>
      <c r="G31" s="4"/>
      <c r="H31" s="4"/>
      <c r="I31" s="4"/>
    </row>
    <row r="32" spans="2:9" ht="15.75" customHeight="1" x14ac:dyDescent="0.35">
      <c r="B32" s="30" t="s">
        <v>85</v>
      </c>
      <c r="C32" s="18"/>
      <c r="D32" s="18"/>
      <c r="E32" s="18"/>
      <c r="F32" s="18"/>
      <c r="G32" s="18"/>
      <c r="H32" s="18"/>
      <c r="I32" s="19"/>
    </row>
    <row r="33" spans="2:9" ht="18" customHeight="1" x14ac:dyDescent="0.35">
      <c r="B33" s="4"/>
      <c r="C33" s="4"/>
      <c r="D33" s="4"/>
      <c r="E33" s="4"/>
      <c r="F33" s="4"/>
      <c r="G33" s="4"/>
      <c r="H33" s="4"/>
      <c r="I33" s="4"/>
    </row>
    <row r="34" spans="2:9" ht="18" customHeight="1" x14ac:dyDescent="0.35">
      <c r="B34" s="4"/>
      <c r="C34" s="4"/>
      <c r="D34" s="4"/>
      <c r="E34" s="4"/>
      <c r="F34" s="4"/>
      <c r="G34" s="4"/>
      <c r="H34" s="4"/>
      <c r="I34" s="4"/>
    </row>
    <row r="35" spans="2:9" ht="18" customHeight="1" x14ac:dyDescent="0.35">
      <c r="B35" s="4"/>
      <c r="C35" s="4"/>
      <c r="D35" s="4"/>
      <c r="E35" s="4"/>
      <c r="F35" s="4"/>
      <c r="G35" s="4"/>
      <c r="H35" s="4"/>
      <c r="I35" s="4"/>
    </row>
    <row r="37" spans="2:9" ht="21.75" customHeight="1" x14ac:dyDescent="0.35">
      <c r="B37" s="36" t="s">
        <v>90</v>
      </c>
      <c r="C37" s="18"/>
      <c r="D37" s="18"/>
      <c r="E37" s="18"/>
      <c r="F37" s="18"/>
      <c r="G37" s="18"/>
      <c r="H37" s="18"/>
      <c r="I37" s="19"/>
    </row>
    <row r="38" spans="2:9" ht="13.5" customHeight="1" x14ac:dyDescent="0.35">
      <c r="B38" s="29" t="s">
        <v>91</v>
      </c>
      <c r="C38" s="21"/>
      <c r="D38" s="21"/>
      <c r="E38" s="21"/>
      <c r="F38" s="21"/>
      <c r="G38" s="21"/>
      <c r="H38" s="21"/>
      <c r="I38" s="21"/>
    </row>
    <row r="39" spans="2:9" ht="19.5" customHeight="1" x14ac:dyDescent="0.35">
      <c r="B39" s="1" t="s">
        <v>92</v>
      </c>
      <c r="C39" s="1" t="s">
        <v>93</v>
      </c>
      <c r="D39" s="1" t="s">
        <v>94</v>
      </c>
      <c r="E39" s="24" t="s">
        <v>95</v>
      </c>
      <c r="F39" s="18"/>
      <c r="G39" s="18"/>
      <c r="H39" s="18"/>
      <c r="I39" s="19"/>
    </row>
    <row r="40" spans="2:9" ht="21.75" customHeight="1" x14ac:dyDescent="0.35">
      <c r="B40" s="22" t="s">
        <v>96</v>
      </c>
      <c r="C40" s="18"/>
      <c r="D40" s="19"/>
      <c r="E40" s="17"/>
      <c r="F40" s="18"/>
      <c r="G40" s="18"/>
      <c r="H40" s="18"/>
      <c r="I40" s="19"/>
    </row>
    <row r="41" spans="2:9" ht="21.75" customHeight="1" x14ac:dyDescent="0.35">
      <c r="B41" s="23" t="s">
        <v>98</v>
      </c>
      <c r="C41" s="18"/>
      <c r="D41" s="19"/>
      <c r="E41" s="17"/>
      <c r="F41" s="18"/>
      <c r="G41" s="18"/>
      <c r="H41" s="18"/>
      <c r="I41" s="19"/>
    </row>
    <row r="42" spans="2:9" ht="21.75" customHeight="1" x14ac:dyDescent="0.35">
      <c r="B42" s="23" t="s">
        <v>100</v>
      </c>
      <c r="C42" s="18"/>
      <c r="D42" s="19"/>
      <c r="E42" s="17"/>
      <c r="F42" s="18"/>
      <c r="G42" s="18"/>
      <c r="H42" s="18"/>
      <c r="I42" s="19"/>
    </row>
    <row r="43" spans="2:9" ht="21.75" customHeight="1" x14ac:dyDescent="0.35">
      <c r="B43" s="23" t="s">
        <v>102</v>
      </c>
      <c r="C43" s="18"/>
      <c r="D43" s="19"/>
      <c r="E43" s="17"/>
      <c r="F43" s="18"/>
      <c r="G43" s="18"/>
      <c r="H43" s="18"/>
      <c r="I43" s="19"/>
    </row>
    <row r="44" spans="2:9" ht="21.75" customHeight="1" x14ac:dyDescent="0.35">
      <c r="B44" s="22" t="s">
        <v>104</v>
      </c>
      <c r="C44" s="18"/>
      <c r="D44" s="19"/>
      <c r="E44" s="17"/>
      <c r="F44" s="18"/>
      <c r="G44" s="18"/>
      <c r="H44" s="18"/>
      <c r="I44" s="19"/>
    </row>
    <row r="45" spans="2:9" ht="21.75" customHeight="1" x14ac:dyDescent="0.35">
      <c r="B45" s="23" t="s">
        <v>98</v>
      </c>
      <c r="C45" s="18"/>
      <c r="D45" s="19"/>
      <c r="E45" s="17"/>
      <c r="F45" s="18"/>
      <c r="G45" s="18"/>
      <c r="H45" s="18"/>
      <c r="I45" s="19"/>
    </row>
    <row r="46" spans="2:9" ht="21.75" customHeight="1" x14ac:dyDescent="0.35">
      <c r="B46" s="23" t="s">
        <v>100</v>
      </c>
      <c r="C46" s="18"/>
      <c r="D46" s="19"/>
      <c r="E46" s="17"/>
      <c r="F46" s="18"/>
      <c r="G46" s="18"/>
      <c r="H46" s="18"/>
      <c r="I46" s="19"/>
    </row>
    <row r="47" spans="2:9" ht="21.75" customHeight="1" x14ac:dyDescent="0.35">
      <c r="B47" s="23" t="s">
        <v>102</v>
      </c>
      <c r="C47" s="18"/>
      <c r="D47" s="19"/>
      <c r="E47" s="17"/>
      <c r="F47" s="18"/>
      <c r="G47" s="18"/>
      <c r="H47" s="18"/>
      <c r="I47" s="19"/>
    </row>
    <row r="48" spans="2:9" ht="21.75" customHeight="1" x14ac:dyDescent="0.35">
      <c r="B48" s="22" t="s">
        <v>109</v>
      </c>
      <c r="C48" s="18"/>
      <c r="D48" s="19"/>
      <c r="E48" s="17"/>
      <c r="F48" s="18"/>
      <c r="G48" s="18"/>
      <c r="H48" s="18"/>
      <c r="I48" s="19"/>
    </row>
    <row r="49" spans="2:9" ht="21.75" customHeight="1" x14ac:dyDescent="0.35">
      <c r="B49" s="23" t="s">
        <v>98</v>
      </c>
      <c r="C49" s="18"/>
      <c r="D49" s="19"/>
      <c r="E49" s="17"/>
      <c r="F49" s="18"/>
      <c r="G49" s="18"/>
      <c r="H49" s="18"/>
      <c r="I49" s="19"/>
    </row>
    <row r="50" spans="2:9" ht="21.75" customHeight="1" x14ac:dyDescent="0.35">
      <c r="B50" s="23" t="s">
        <v>100</v>
      </c>
      <c r="C50" s="18"/>
      <c r="D50" s="19"/>
      <c r="E50" s="17"/>
      <c r="F50" s="18"/>
      <c r="G50" s="18"/>
      <c r="H50" s="18"/>
      <c r="I50" s="19"/>
    </row>
    <row r="51" spans="2:9" ht="21.75" customHeight="1" x14ac:dyDescent="0.35">
      <c r="B51" s="23" t="s">
        <v>102</v>
      </c>
      <c r="C51" s="18"/>
      <c r="D51" s="19"/>
      <c r="E51" s="17"/>
      <c r="F51" s="18"/>
      <c r="G51" s="18"/>
      <c r="H51" s="18"/>
      <c r="I51" s="19"/>
    </row>
    <row r="52" spans="2:9" ht="21.75" customHeight="1" x14ac:dyDescent="0.35">
      <c r="B52" s="22" t="s">
        <v>114</v>
      </c>
      <c r="C52" s="18"/>
      <c r="D52" s="19"/>
      <c r="E52" s="17"/>
      <c r="F52" s="18"/>
      <c r="G52" s="18"/>
      <c r="H52" s="18"/>
      <c r="I52" s="19"/>
    </row>
    <row r="53" spans="2:9" ht="21.75" customHeight="1" x14ac:dyDescent="0.35">
      <c r="B53" s="23" t="s">
        <v>98</v>
      </c>
      <c r="C53" s="18"/>
      <c r="D53" s="19"/>
      <c r="E53" s="17"/>
      <c r="F53" s="18"/>
      <c r="G53" s="18"/>
      <c r="H53" s="18"/>
      <c r="I53" s="19"/>
    </row>
    <row r="54" spans="2:9" ht="21.75" customHeight="1" x14ac:dyDescent="0.35">
      <c r="B54" s="23" t="s">
        <v>100</v>
      </c>
      <c r="C54" s="18"/>
      <c r="D54" s="19"/>
      <c r="E54" s="17"/>
      <c r="F54" s="18"/>
      <c r="G54" s="18"/>
      <c r="H54" s="18"/>
      <c r="I54" s="19"/>
    </row>
    <row r="55" spans="2:9" ht="21.75" customHeight="1" x14ac:dyDescent="0.35">
      <c r="B55" s="23" t="s">
        <v>102</v>
      </c>
      <c r="C55" s="18"/>
      <c r="D55" s="19"/>
      <c r="E55" s="17"/>
      <c r="F55" s="18"/>
      <c r="G55" s="18"/>
      <c r="H55" s="18"/>
      <c r="I55" s="19"/>
    </row>
    <row r="56" spans="2:9" x14ac:dyDescent="0.35">
      <c r="E56" s="17"/>
      <c r="F56" s="18"/>
      <c r="G56" s="18"/>
      <c r="H56" s="18"/>
      <c r="I56" s="19"/>
    </row>
    <row r="57" spans="2:9" ht="21.75" customHeight="1" x14ac:dyDescent="0.35">
      <c r="B57" s="35" t="s">
        <v>119</v>
      </c>
      <c r="C57" s="18"/>
      <c r="D57" s="18"/>
      <c r="E57" s="18"/>
      <c r="F57" s="18"/>
      <c r="G57" s="18"/>
      <c r="H57" s="18"/>
      <c r="I57" s="19"/>
    </row>
    <row r="58" spans="2:9" ht="13.5" customHeight="1" x14ac:dyDescent="0.35">
      <c r="B58" s="29" t="s">
        <v>120</v>
      </c>
      <c r="C58" s="21"/>
      <c r="D58" s="21"/>
      <c r="E58" s="21"/>
      <c r="F58" s="21"/>
      <c r="G58" s="21"/>
      <c r="H58" s="21"/>
      <c r="I58" s="21"/>
    </row>
    <row r="59" spans="2:9" ht="18" customHeight="1" x14ac:dyDescent="0.35">
      <c r="B59" s="27" t="s">
        <v>121</v>
      </c>
      <c r="C59" s="18"/>
      <c r="D59" s="18"/>
      <c r="E59" s="18"/>
      <c r="F59" s="18"/>
      <c r="G59" s="18"/>
      <c r="H59" s="18"/>
      <c r="I59" s="19"/>
    </row>
    <row r="60" spans="2:9" ht="18" customHeight="1" x14ac:dyDescent="0.35">
      <c r="B60" s="25" t="s">
        <v>122</v>
      </c>
      <c r="C60" s="18"/>
      <c r="D60" s="19"/>
      <c r="E60" s="20" t="s">
        <v>442</v>
      </c>
      <c r="F60" s="21"/>
      <c r="G60" s="21"/>
      <c r="H60" s="21"/>
      <c r="I60" s="21"/>
    </row>
    <row r="61" spans="2:9" ht="18" customHeight="1" x14ac:dyDescent="0.35">
      <c r="B61" s="25" t="s">
        <v>124</v>
      </c>
      <c r="C61" s="18"/>
      <c r="D61" s="19"/>
      <c r="E61" s="20" t="s">
        <v>443</v>
      </c>
      <c r="F61" s="21"/>
      <c r="G61" s="21"/>
      <c r="H61" s="21"/>
      <c r="I61" s="21"/>
    </row>
    <row r="62" spans="2:9" ht="18" customHeight="1" x14ac:dyDescent="0.35">
      <c r="B62" s="25" t="s">
        <v>126</v>
      </c>
      <c r="C62" s="18"/>
      <c r="D62" s="19"/>
      <c r="E62" s="20" t="s">
        <v>444</v>
      </c>
      <c r="F62" s="21"/>
      <c r="G62" s="21"/>
      <c r="H62" s="21"/>
      <c r="I62" s="21"/>
    </row>
    <row r="63" spans="2:9" ht="18" customHeight="1" x14ac:dyDescent="0.35">
      <c r="B63" s="25" t="s">
        <v>128</v>
      </c>
      <c r="C63" s="18"/>
      <c r="D63" s="19"/>
      <c r="E63" s="20" t="s">
        <v>445</v>
      </c>
      <c r="F63" s="21"/>
      <c r="G63" s="21"/>
      <c r="H63" s="21"/>
      <c r="I63" s="21"/>
    </row>
    <row r="64" spans="2:9" ht="18" customHeight="1" x14ac:dyDescent="0.35">
      <c r="B64" s="25" t="s">
        <v>130</v>
      </c>
      <c r="C64" s="18"/>
      <c r="D64" s="19"/>
      <c r="E64" s="20" t="s">
        <v>446</v>
      </c>
      <c r="F64" s="21"/>
      <c r="G64" s="21"/>
      <c r="H64" s="21"/>
      <c r="I64" s="21"/>
    </row>
    <row r="66" spans="2:9" ht="18" customHeight="1" x14ac:dyDescent="0.35">
      <c r="B66" s="27" t="s">
        <v>132</v>
      </c>
      <c r="C66" s="18"/>
      <c r="D66" s="18"/>
      <c r="E66" s="18"/>
      <c r="F66" s="18"/>
      <c r="G66" s="18"/>
      <c r="H66" s="18"/>
      <c r="I66" s="19"/>
    </row>
    <row r="67" spans="2:9" ht="18" customHeight="1" x14ac:dyDescent="0.35">
      <c r="B67" s="25" t="s">
        <v>122</v>
      </c>
      <c r="C67" s="18"/>
      <c r="D67" s="19"/>
      <c r="E67" s="20" t="s">
        <v>442</v>
      </c>
      <c r="F67" s="21"/>
      <c r="G67" s="21"/>
      <c r="H67" s="21"/>
      <c r="I67" s="21"/>
    </row>
    <row r="68" spans="2:9" ht="18" customHeight="1" x14ac:dyDescent="0.35">
      <c r="B68" s="25" t="s">
        <v>124</v>
      </c>
      <c r="C68" s="18"/>
      <c r="D68" s="19"/>
      <c r="E68" s="20" t="s">
        <v>443</v>
      </c>
      <c r="F68" s="21"/>
      <c r="G68" s="21"/>
      <c r="H68" s="21"/>
      <c r="I68" s="21"/>
    </row>
    <row r="69" spans="2:9" ht="18" customHeight="1" x14ac:dyDescent="0.35">
      <c r="B69" s="25" t="s">
        <v>126</v>
      </c>
      <c r="C69" s="18"/>
      <c r="D69" s="19"/>
      <c r="E69" s="20" t="s">
        <v>444</v>
      </c>
      <c r="F69" s="21"/>
      <c r="G69" s="21"/>
      <c r="H69" s="21"/>
      <c r="I69" s="21"/>
    </row>
    <row r="70" spans="2:9" ht="18" customHeight="1" x14ac:dyDescent="0.35">
      <c r="B70" s="25" t="s">
        <v>128</v>
      </c>
      <c r="C70" s="18"/>
      <c r="D70" s="19"/>
      <c r="E70" s="20" t="s">
        <v>445</v>
      </c>
      <c r="F70" s="21"/>
      <c r="G70" s="21"/>
      <c r="H70" s="21"/>
      <c r="I70" s="21"/>
    </row>
    <row r="71" spans="2:9" ht="18" customHeight="1" x14ac:dyDescent="0.35">
      <c r="B71" s="25" t="s">
        <v>130</v>
      </c>
      <c r="C71" s="18"/>
      <c r="D71" s="19"/>
      <c r="E71" s="20" t="s">
        <v>446</v>
      </c>
      <c r="F71" s="21"/>
      <c r="G71" s="21"/>
      <c r="H71" s="21"/>
      <c r="I71" s="21"/>
    </row>
    <row r="73" spans="2:9" ht="18" customHeight="1" x14ac:dyDescent="0.35">
      <c r="B73" s="27" t="s">
        <v>138</v>
      </c>
      <c r="C73" s="18"/>
      <c r="D73" s="18"/>
      <c r="E73" s="18"/>
      <c r="F73" s="18"/>
      <c r="G73" s="18"/>
      <c r="H73" s="18"/>
      <c r="I73" s="19"/>
    </row>
    <row r="74" spans="2:9" ht="18" customHeight="1" x14ac:dyDescent="0.35">
      <c r="B74" s="25" t="s">
        <v>122</v>
      </c>
      <c r="C74" s="18"/>
      <c r="D74" s="19"/>
      <c r="E74" s="23" t="s">
        <v>442</v>
      </c>
      <c r="F74" s="18"/>
      <c r="G74" s="18"/>
      <c r="H74" s="18"/>
      <c r="I74" s="19"/>
    </row>
    <row r="75" spans="2:9" ht="18" customHeight="1" x14ac:dyDescent="0.35">
      <c r="B75" s="25" t="s">
        <v>124</v>
      </c>
      <c r="C75" s="18"/>
      <c r="D75" s="19"/>
      <c r="E75" s="23" t="s">
        <v>443</v>
      </c>
      <c r="F75" s="18"/>
      <c r="G75" s="18"/>
      <c r="H75" s="18"/>
      <c r="I75" s="19"/>
    </row>
    <row r="76" spans="2:9" ht="18" customHeight="1" x14ac:dyDescent="0.35">
      <c r="B76" s="25" t="s">
        <v>126</v>
      </c>
      <c r="C76" s="18"/>
      <c r="D76" s="19"/>
      <c r="E76" s="23" t="s">
        <v>444</v>
      </c>
      <c r="F76" s="18"/>
      <c r="G76" s="18"/>
      <c r="H76" s="18"/>
      <c r="I76" s="19"/>
    </row>
    <row r="77" spans="2:9" ht="18" customHeight="1" x14ac:dyDescent="0.35">
      <c r="B77" s="25" t="s">
        <v>128</v>
      </c>
      <c r="C77" s="18"/>
      <c r="D77" s="19"/>
      <c r="E77" s="23" t="s">
        <v>445</v>
      </c>
      <c r="F77" s="18"/>
      <c r="G77" s="18"/>
      <c r="H77" s="18"/>
      <c r="I77" s="19"/>
    </row>
    <row r="78" spans="2:9" ht="18" customHeight="1" x14ac:dyDescent="0.35">
      <c r="B78" s="25" t="s">
        <v>130</v>
      </c>
      <c r="C78" s="18"/>
      <c r="D78" s="19"/>
      <c r="E78" s="23" t="s">
        <v>446</v>
      </c>
      <c r="F78" s="18"/>
      <c r="G78" s="18"/>
      <c r="H78" s="18"/>
      <c r="I78" s="19"/>
    </row>
    <row r="80" spans="2:9" ht="18" customHeight="1" x14ac:dyDescent="0.35">
      <c r="B80" s="27" t="s">
        <v>144</v>
      </c>
      <c r="C80" s="18"/>
      <c r="D80" s="18"/>
      <c r="E80" s="18"/>
      <c r="F80" s="18"/>
      <c r="G80" s="18"/>
      <c r="H80" s="18"/>
      <c r="I80" s="19"/>
    </row>
    <row r="81" spans="2:9" ht="18" customHeight="1" x14ac:dyDescent="0.35">
      <c r="B81" s="25" t="s">
        <v>122</v>
      </c>
      <c r="C81" s="18"/>
      <c r="D81" s="19"/>
      <c r="E81" s="23" t="s">
        <v>442</v>
      </c>
      <c r="F81" s="18"/>
      <c r="G81" s="18"/>
      <c r="H81" s="18"/>
      <c r="I81" s="19"/>
    </row>
    <row r="82" spans="2:9" ht="18" customHeight="1" x14ac:dyDescent="0.35">
      <c r="B82" s="25" t="s">
        <v>124</v>
      </c>
      <c r="C82" s="18"/>
      <c r="D82" s="19"/>
      <c r="E82" s="23" t="s">
        <v>443</v>
      </c>
      <c r="F82" s="18"/>
      <c r="G82" s="18"/>
      <c r="H82" s="18"/>
      <c r="I82" s="19"/>
    </row>
    <row r="83" spans="2:9" ht="18" customHeight="1" x14ac:dyDescent="0.35">
      <c r="B83" s="25" t="s">
        <v>126</v>
      </c>
      <c r="C83" s="18"/>
      <c r="D83" s="19"/>
      <c r="E83" s="23" t="s">
        <v>444</v>
      </c>
      <c r="F83" s="18"/>
      <c r="G83" s="18"/>
      <c r="H83" s="18"/>
      <c r="I83" s="19"/>
    </row>
    <row r="84" spans="2:9" ht="18" customHeight="1" x14ac:dyDescent="0.35">
      <c r="B84" s="25" t="s">
        <v>128</v>
      </c>
      <c r="C84" s="18"/>
      <c r="D84" s="19"/>
      <c r="E84" s="23" t="s">
        <v>445</v>
      </c>
      <c r="F84" s="18"/>
      <c r="G84" s="18"/>
      <c r="H84" s="18"/>
      <c r="I84" s="19"/>
    </row>
    <row r="85" spans="2:9" ht="18" customHeight="1" x14ac:dyDescent="0.35">
      <c r="B85" s="25" t="s">
        <v>130</v>
      </c>
      <c r="C85" s="18"/>
      <c r="D85" s="19"/>
      <c r="E85" s="23" t="s">
        <v>446</v>
      </c>
      <c r="F85" s="18"/>
      <c r="G85" s="18"/>
      <c r="H85" s="18"/>
      <c r="I85" s="19"/>
    </row>
    <row r="87" spans="2:9" ht="18" customHeight="1" x14ac:dyDescent="0.35">
      <c r="B87" s="27" t="s">
        <v>150</v>
      </c>
      <c r="C87" s="18"/>
      <c r="D87" s="18"/>
      <c r="E87" s="18"/>
      <c r="F87" s="18"/>
      <c r="G87" s="18"/>
      <c r="H87" s="18"/>
      <c r="I87" s="19"/>
    </row>
    <row r="88" spans="2:9" ht="18" customHeight="1" x14ac:dyDescent="0.35">
      <c r="B88" s="25" t="s">
        <v>122</v>
      </c>
      <c r="C88" s="18"/>
      <c r="D88" s="19"/>
      <c r="E88" s="23" t="s">
        <v>442</v>
      </c>
      <c r="F88" s="18"/>
      <c r="G88" s="18"/>
      <c r="H88" s="18"/>
      <c r="I88" s="19"/>
    </row>
    <row r="89" spans="2:9" ht="18" customHeight="1" x14ac:dyDescent="0.35">
      <c r="B89" s="25" t="s">
        <v>124</v>
      </c>
      <c r="C89" s="18"/>
      <c r="D89" s="19"/>
      <c r="E89" s="23" t="s">
        <v>443</v>
      </c>
      <c r="F89" s="18"/>
      <c r="G89" s="18"/>
      <c r="H89" s="18"/>
      <c r="I89" s="19"/>
    </row>
    <row r="90" spans="2:9" ht="18" customHeight="1" x14ac:dyDescent="0.35">
      <c r="B90" s="25" t="s">
        <v>126</v>
      </c>
      <c r="C90" s="18"/>
      <c r="D90" s="19"/>
      <c r="E90" s="23" t="s">
        <v>444</v>
      </c>
      <c r="F90" s="18"/>
      <c r="G90" s="18"/>
      <c r="H90" s="18"/>
      <c r="I90" s="19"/>
    </row>
    <row r="91" spans="2:9" ht="18" customHeight="1" x14ac:dyDescent="0.35">
      <c r="B91" s="25" t="s">
        <v>128</v>
      </c>
      <c r="C91" s="18"/>
      <c r="D91" s="19"/>
      <c r="E91" s="23" t="s">
        <v>445</v>
      </c>
      <c r="F91" s="18"/>
      <c r="G91" s="18"/>
      <c r="H91" s="18"/>
      <c r="I91" s="19"/>
    </row>
    <row r="92" spans="2:9" ht="18" customHeight="1" x14ac:dyDescent="0.35">
      <c r="B92" s="25" t="s">
        <v>130</v>
      </c>
      <c r="C92" s="18"/>
      <c r="D92" s="19"/>
      <c r="E92" s="23" t="s">
        <v>446</v>
      </c>
      <c r="F92" s="18"/>
      <c r="G92" s="18"/>
      <c r="H92" s="18"/>
      <c r="I92" s="19"/>
    </row>
    <row r="94" spans="2:9" ht="15.75" customHeight="1" x14ac:dyDescent="0.35">
      <c r="B94" s="31" t="s">
        <v>451</v>
      </c>
      <c r="C94" s="18"/>
      <c r="D94" s="18"/>
      <c r="E94" s="18"/>
      <c r="F94" s="18"/>
      <c r="G94" s="18"/>
      <c r="H94" s="18"/>
      <c r="I94" s="19"/>
    </row>
  </sheetData>
  <mergeCells count="106">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E68:I68"/>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E55:I55"/>
    <mergeCell ref="E52:I52"/>
    <mergeCell ref="E67:I67"/>
    <mergeCell ref="B44:D44"/>
    <mergeCell ref="B53:D53"/>
    <mergeCell ref="E39:I39"/>
    <mergeCell ref="E48:I48"/>
    <mergeCell ref="E60:I60"/>
    <mergeCell ref="B51:D51"/>
    <mergeCell ref="B41:D41"/>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I94"/>
  <sheetViews>
    <sheetView showGridLines="0" topLeftCell="E69" zoomScaleNormal="100" workbookViewId="0">
      <selection activeCell="E71" sqref="E71"/>
    </sheetView>
  </sheetViews>
  <sheetFormatPr defaultColWidth="8.54296875" defaultRowHeight="14.5" x14ac:dyDescent="0.35"/>
  <cols>
    <col min="1" max="1" width="3" customWidth="1"/>
    <col min="2" max="2" width="12" customWidth="1"/>
    <col min="3" max="3" width="6" customWidth="1"/>
    <col min="4" max="4" width="12.7265625" customWidth="1"/>
    <col min="5" max="5" width="32" customWidth="1"/>
    <col min="6" max="6" width="20" customWidth="1"/>
    <col min="7" max="7" width="12" customWidth="1"/>
    <col min="8" max="8" width="28" customWidth="1"/>
    <col min="9" max="9" width="22" customWidth="1"/>
  </cols>
  <sheetData>
    <row r="1" spans="2:9" ht="13.5" customHeight="1" x14ac:dyDescent="0.35"/>
    <row r="2" spans="2:9" ht="33.75" customHeight="1" x14ac:dyDescent="0.35">
      <c r="B2" s="33" t="s">
        <v>235</v>
      </c>
      <c r="C2" s="18"/>
      <c r="D2" s="18"/>
      <c r="E2" s="18"/>
      <c r="F2" s="18"/>
      <c r="G2" s="18"/>
      <c r="H2" s="18"/>
      <c r="I2" s="19"/>
    </row>
    <row r="3" spans="2:9" ht="15.75" customHeight="1" x14ac:dyDescent="0.35">
      <c r="B3" s="32" t="s">
        <v>1</v>
      </c>
      <c r="C3" s="21"/>
      <c r="D3" s="21"/>
      <c r="E3" s="21"/>
      <c r="F3" s="21"/>
      <c r="G3" s="21"/>
      <c r="H3" s="21"/>
      <c r="I3" s="21"/>
    </row>
    <row r="5" spans="2:9" ht="21.75" customHeight="1" x14ac:dyDescent="0.35">
      <c r="B5" s="28" t="s">
        <v>2</v>
      </c>
      <c r="C5" s="18"/>
      <c r="D5" s="18"/>
      <c r="E5" s="18"/>
      <c r="F5" s="18"/>
      <c r="G5" s="18"/>
      <c r="H5" s="18"/>
      <c r="I5" s="19"/>
    </row>
    <row r="6" spans="2:9" ht="13.5" customHeight="1" x14ac:dyDescent="0.35">
      <c r="B6" s="29" t="s">
        <v>3</v>
      </c>
      <c r="C6" s="21"/>
      <c r="D6" s="21"/>
      <c r="E6" s="21"/>
      <c r="F6" s="21"/>
      <c r="G6" s="21"/>
      <c r="H6" s="21"/>
      <c r="I6" s="21"/>
    </row>
    <row r="7" spans="2:9" ht="19.5" customHeight="1" x14ac:dyDescent="0.35">
      <c r="B7" s="5" t="s">
        <v>4</v>
      </c>
      <c r="C7" s="5" t="s">
        <v>5</v>
      </c>
      <c r="D7" s="5" t="s">
        <v>6</v>
      </c>
      <c r="E7" s="5" t="s">
        <v>7</v>
      </c>
      <c r="F7" s="5" t="s">
        <v>8</v>
      </c>
      <c r="G7" s="5" t="s">
        <v>9</v>
      </c>
      <c r="H7" s="5" t="s">
        <v>10</v>
      </c>
      <c r="I7" s="5" t="s">
        <v>11</v>
      </c>
    </row>
    <row r="8" spans="2:9" ht="18" customHeight="1" x14ac:dyDescent="0.35">
      <c r="B8" s="4"/>
      <c r="C8" s="4"/>
      <c r="D8" s="4"/>
      <c r="E8" s="4"/>
      <c r="F8" s="4"/>
      <c r="G8" s="4"/>
      <c r="H8" s="4"/>
      <c r="I8" s="4"/>
    </row>
    <row r="9" spans="2:9" ht="18" customHeight="1" x14ac:dyDescent="0.35">
      <c r="B9" s="4"/>
      <c r="C9" s="4"/>
      <c r="D9" s="4"/>
      <c r="E9" s="4"/>
      <c r="F9" s="4"/>
      <c r="G9" s="4"/>
      <c r="H9" s="4"/>
      <c r="I9" s="4"/>
    </row>
    <row r="10" spans="2:9" ht="18" customHeight="1" x14ac:dyDescent="0.35">
      <c r="B10" s="4"/>
      <c r="C10" s="4"/>
      <c r="D10" s="4"/>
      <c r="E10" s="4"/>
      <c r="F10" s="4"/>
      <c r="G10" s="4"/>
      <c r="H10" s="4"/>
      <c r="I10" s="4"/>
    </row>
    <row r="11" spans="2:9" ht="18" customHeight="1" x14ac:dyDescent="0.35">
      <c r="B11" s="4"/>
      <c r="C11" s="4"/>
      <c r="D11" s="4"/>
      <c r="E11" s="4"/>
      <c r="F11" s="4"/>
      <c r="G11" s="4"/>
      <c r="H11" s="4"/>
      <c r="I11" s="4"/>
    </row>
    <row r="12" spans="2:9" ht="18" customHeight="1" x14ac:dyDescent="0.35">
      <c r="B12" s="4"/>
      <c r="C12" s="4"/>
      <c r="D12" s="4"/>
      <c r="E12" s="4"/>
      <c r="F12" s="4"/>
      <c r="G12" s="4"/>
      <c r="H12" s="4"/>
      <c r="I12" s="4"/>
    </row>
    <row r="13" spans="2:9" ht="18" customHeight="1" x14ac:dyDescent="0.35">
      <c r="B13" s="4"/>
      <c r="C13" s="4"/>
      <c r="D13" s="4"/>
      <c r="E13" s="4"/>
      <c r="F13" s="4"/>
      <c r="G13" s="4"/>
      <c r="H13" s="4"/>
      <c r="I13" s="4"/>
    </row>
    <row r="14" spans="2:9" ht="18" customHeight="1" x14ac:dyDescent="0.35">
      <c r="B14" s="4"/>
      <c r="C14" s="4"/>
      <c r="D14" s="4"/>
      <c r="E14" s="4"/>
      <c r="F14" s="4"/>
      <c r="G14" s="4"/>
      <c r="H14" s="4"/>
      <c r="I14" s="4"/>
    </row>
    <row r="15" spans="2:9" ht="18" customHeight="1" x14ac:dyDescent="0.35">
      <c r="B15" s="4"/>
      <c r="C15" s="4"/>
      <c r="D15" s="4"/>
      <c r="E15" s="4"/>
      <c r="F15" s="4"/>
      <c r="G15" s="4"/>
      <c r="H15" s="4"/>
      <c r="I15" s="4"/>
    </row>
    <row r="17" spans="2:9" ht="21.75" customHeight="1" x14ac:dyDescent="0.35">
      <c r="B17" s="26" t="s">
        <v>55</v>
      </c>
      <c r="C17" s="18"/>
      <c r="D17" s="18"/>
      <c r="E17" s="18"/>
      <c r="F17" s="18"/>
      <c r="G17" s="18"/>
      <c r="H17" s="18"/>
      <c r="I17" s="19"/>
    </row>
    <row r="18" spans="2:9" ht="13.5" customHeight="1" x14ac:dyDescent="0.35">
      <c r="B18" s="29" t="s">
        <v>56</v>
      </c>
      <c r="C18" s="21"/>
      <c r="D18" s="21"/>
      <c r="E18" s="21"/>
      <c r="F18" s="21"/>
      <c r="G18" s="21"/>
      <c r="H18" s="21"/>
      <c r="I18" s="21"/>
    </row>
    <row r="19" spans="2:9" ht="19.5" customHeight="1" x14ac:dyDescent="0.35">
      <c r="B19" s="2" t="s">
        <v>57</v>
      </c>
      <c r="C19" s="2" t="s">
        <v>5</v>
      </c>
      <c r="D19" s="34" t="s">
        <v>58</v>
      </c>
      <c r="E19" s="18"/>
      <c r="F19" s="19"/>
      <c r="G19" s="34" t="s">
        <v>59</v>
      </c>
      <c r="H19" s="19"/>
      <c r="I19" s="2" t="s">
        <v>60</v>
      </c>
    </row>
    <row r="20" spans="2:9" ht="15.75" customHeight="1" x14ac:dyDescent="0.35">
      <c r="B20" s="30" t="s">
        <v>61</v>
      </c>
      <c r="C20" s="18"/>
      <c r="D20" s="18"/>
      <c r="E20" s="18"/>
      <c r="F20" s="18"/>
      <c r="G20" s="18"/>
      <c r="H20" s="18"/>
      <c r="I20" s="19"/>
    </row>
    <row r="21" spans="2:9" ht="18" customHeight="1" x14ac:dyDescent="0.35">
      <c r="B21" s="4"/>
      <c r="C21" s="4"/>
      <c r="D21" s="4"/>
      <c r="E21" s="4"/>
      <c r="F21" s="4"/>
      <c r="G21" s="4"/>
      <c r="H21" s="4"/>
      <c r="I21" s="4"/>
    </row>
    <row r="22" spans="2:9" ht="18" customHeight="1" x14ac:dyDescent="0.35">
      <c r="B22" s="4"/>
      <c r="C22" s="4"/>
      <c r="D22" s="4"/>
      <c r="E22" s="4"/>
      <c r="F22" s="4"/>
      <c r="G22" s="4"/>
      <c r="H22" s="4"/>
      <c r="I22" s="4"/>
    </row>
    <row r="23" spans="2:9" ht="18" customHeight="1" x14ac:dyDescent="0.35">
      <c r="B23" s="4"/>
      <c r="C23" s="4"/>
      <c r="D23" s="4"/>
      <c r="E23" s="4"/>
      <c r="F23" s="4"/>
      <c r="G23" s="4"/>
      <c r="H23" s="4"/>
      <c r="I23" s="4"/>
    </row>
    <row r="24" spans="2:9" ht="15.75" customHeight="1" x14ac:dyDescent="0.35">
      <c r="B24" s="30" t="s">
        <v>70</v>
      </c>
      <c r="C24" s="18"/>
      <c r="D24" s="18"/>
      <c r="E24" s="18"/>
      <c r="F24" s="18"/>
      <c r="G24" s="18"/>
      <c r="H24" s="18"/>
      <c r="I24" s="19"/>
    </row>
    <row r="25" spans="2:9" ht="18" customHeight="1" x14ac:dyDescent="0.35">
      <c r="B25" s="4"/>
      <c r="C25" s="4"/>
      <c r="D25" s="4"/>
      <c r="E25" s="4"/>
      <c r="F25" s="4"/>
      <c r="G25" s="4"/>
      <c r="H25" s="4"/>
      <c r="I25" s="4"/>
    </row>
    <row r="26" spans="2:9" ht="18" customHeight="1" x14ac:dyDescent="0.35">
      <c r="B26" s="4"/>
      <c r="C26" s="4"/>
      <c r="D26" s="4"/>
      <c r="E26" s="4"/>
      <c r="F26" s="4"/>
      <c r="G26" s="4"/>
      <c r="H26" s="4"/>
      <c r="I26" s="4"/>
    </row>
    <row r="27" spans="2:9" ht="18" customHeight="1" x14ac:dyDescent="0.35">
      <c r="B27" s="4"/>
      <c r="C27" s="4"/>
      <c r="D27" s="4"/>
      <c r="E27" s="4"/>
      <c r="F27" s="4"/>
      <c r="G27" s="4"/>
      <c r="H27" s="4"/>
      <c r="I27" s="4"/>
    </row>
    <row r="28" spans="2:9" ht="15.75" customHeight="1" x14ac:dyDescent="0.35">
      <c r="B28" s="30" t="s">
        <v>77</v>
      </c>
      <c r="C28" s="18"/>
      <c r="D28" s="18"/>
      <c r="E28" s="18"/>
      <c r="F28" s="18"/>
      <c r="G28" s="18"/>
      <c r="H28" s="18"/>
      <c r="I28" s="19"/>
    </row>
    <row r="29" spans="2:9" ht="18" customHeight="1" x14ac:dyDescent="0.35">
      <c r="B29" s="4"/>
      <c r="C29" s="4"/>
      <c r="D29" s="4"/>
      <c r="E29" s="4"/>
      <c r="F29" s="4"/>
      <c r="G29" s="4"/>
      <c r="H29" s="4"/>
      <c r="I29" s="4"/>
    </row>
    <row r="30" spans="2:9" ht="18" customHeight="1" x14ac:dyDescent="0.35">
      <c r="B30" s="4"/>
      <c r="C30" s="4"/>
      <c r="D30" s="4"/>
      <c r="E30" s="4"/>
      <c r="F30" s="4"/>
      <c r="G30" s="4"/>
      <c r="H30" s="4"/>
      <c r="I30" s="4"/>
    </row>
    <row r="31" spans="2:9" ht="18" customHeight="1" x14ac:dyDescent="0.35">
      <c r="B31" s="4"/>
      <c r="C31" s="4"/>
      <c r="D31" s="4"/>
      <c r="E31" s="4"/>
      <c r="F31" s="4"/>
      <c r="G31" s="4"/>
      <c r="H31" s="4"/>
      <c r="I31" s="4"/>
    </row>
    <row r="32" spans="2:9" ht="15.75" customHeight="1" x14ac:dyDescent="0.35">
      <c r="B32" s="30" t="s">
        <v>85</v>
      </c>
      <c r="C32" s="18"/>
      <c r="D32" s="18"/>
      <c r="E32" s="18"/>
      <c r="F32" s="18"/>
      <c r="G32" s="18"/>
      <c r="H32" s="18"/>
      <c r="I32" s="19"/>
    </row>
    <row r="33" spans="2:9" ht="18" customHeight="1" x14ac:dyDescent="0.35">
      <c r="B33" s="4"/>
      <c r="C33" s="4"/>
      <c r="D33" s="4"/>
      <c r="E33" s="4"/>
      <c r="F33" s="4"/>
      <c r="G33" s="4"/>
      <c r="H33" s="4"/>
      <c r="I33" s="4"/>
    </row>
    <row r="34" spans="2:9" ht="18" customHeight="1" x14ac:dyDescent="0.35">
      <c r="B34" s="4"/>
      <c r="C34" s="4"/>
      <c r="D34" s="4"/>
      <c r="E34" s="4"/>
      <c r="F34" s="4"/>
      <c r="G34" s="4"/>
      <c r="H34" s="4"/>
      <c r="I34" s="4"/>
    </row>
    <row r="35" spans="2:9" ht="18" customHeight="1" x14ac:dyDescent="0.35">
      <c r="B35" s="4"/>
      <c r="C35" s="4"/>
      <c r="D35" s="4"/>
      <c r="E35" s="4"/>
      <c r="F35" s="4"/>
      <c r="G35" s="4"/>
      <c r="H35" s="4"/>
      <c r="I35" s="4"/>
    </row>
    <row r="37" spans="2:9" ht="21.75" customHeight="1" x14ac:dyDescent="0.35">
      <c r="B37" s="36" t="s">
        <v>90</v>
      </c>
      <c r="C37" s="18"/>
      <c r="D37" s="18"/>
      <c r="E37" s="18"/>
      <c r="F37" s="18"/>
      <c r="G37" s="18"/>
      <c r="H37" s="18"/>
      <c r="I37" s="19"/>
    </row>
    <row r="38" spans="2:9" ht="13.5" customHeight="1" x14ac:dyDescent="0.35">
      <c r="B38" s="29" t="s">
        <v>91</v>
      </c>
      <c r="C38" s="21"/>
      <c r="D38" s="21"/>
      <c r="E38" s="21"/>
      <c r="F38" s="21"/>
      <c r="G38" s="21"/>
      <c r="H38" s="21"/>
      <c r="I38" s="21"/>
    </row>
    <row r="39" spans="2:9" ht="19.5" customHeight="1" x14ac:dyDescent="0.35">
      <c r="B39" s="1" t="s">
        <v>92</v>
      </c>
      <c r="C39" s="1" t="s">
        <v>93</v>
      </c>
      <c r="D39" s="1" t="s">
        <v>94</v>
      </c>
      <c r="E39" s="24" t="s">
        <v>95</v>
      </c>
      <c r="F39" s="18"/>
      <c r="G39" s="18"/>
      <c r="H39" s="18"/>
      <c r="I39" s="19"/>
    </row>
    <row r="40" spans="2:9" ht="21.75" customHeight="1" x14ac:dyDescent="0.35">
      <c r="B40" s="22" t="s">
        <v>96</v>
      </c>
      <c r="C40" s="18"/>
      <c r="D40" s="19"/>
      <c r="E40" s="17"/>
      <c r="F40" s="18"/>
      <c r="G40" s="18"/>
      <c r="H40" s="18"/>
      <c r="I40" s="19"/>
    </row>
    <row r="41" spans="2:9" ht="21.75" customHeight="1" x14ac:dyDescent="0.35">
      <c r="B41" s="23" t="s">
        <v>98</v>
      </c>
      <c r="C41" s="18"/>
      <c r="D41" s="19"/>
      <c r="E41" s="17"/>
      <c r="F41" s="18"/>
      <c r="G41" s="18"/>
      <c r="H41" s="18"/>
      <c r="I41" s="19"/>
    </row>
    <row r="42" spans="2:9" ht="21.75" customHeight="1" x14ac:dyDescent="0.35">
      <c r="B42" s="23" t="s">
        <v>100</v>
      </c>
      <c r="C42" s="18"/>
      <c r="D42" s="19"/>
      <c r="E42" s="17"/>
      <c r="F42" s="18"/>
      <c r="G42" s="18"/>
      <c r="H42" s="18"/>
      <c r="I42" s="19"/>
    </row>
    <row r="43" spans="2:9" ht="21.75" customHeight="1" x14ac:dyDescent="0.35">
      <c r="B43" s="23" t="s">
        <v>102</v>
      </c>
      <c r="C43" s="18"/>
      <c r="D43" s="19"/>
      <c r="E43" s="17"/>
      <c r="F43" s="18"/>
      <c r="G43" s="18"/>
      <c r="H43" s="18"/>
      <c r="I43" s="19"/>
    </row>
    <row r="44" spans="2:9" ht="21.75" customHeight="1" x14ac:dyDescent="0.35">
      <c r="B44" s="22" t="s">
        <v>104</v>
      </c>
      <c r="C44" s="18"/>
      <c r="D44" s="19"/>
      <c r="E44" s="17"/>
      <c r="F44" s="18"/>
      <c r="G44" s="18"/>
      <c r="H44" s="18"/>
      <c r="I44" s="19"/>
    </row>
    <row r="45" spans="2:9" ht="21.75" customHeight="1" x14ac:dyDescent="0.35">
      <c r="B45" s="23" t="s">
        <v>98</v>
      </c>
      <c r="C45" s="18"/>
      <c r="D45" s="19"/>
      <c r="E45" s="17"/>
      <c r="F45" s="18"/>
      <c r="G45" s="18"/>
      <c r="H45" s="18"/>
      <c r="I45" s="19"/>
    </row>
    <row r="46" spans="2:9" ht="21.75" customHeight="1" x14ac:dyDescent="0.35">
      <c r="B46" s="23" t="s">
        <v>100</v>
      </c>
      <c r="C46" s="18"/>
      <c r="D46" s="19"/>
      <c r="E46" s="17"/>
      <c r="F46" s="18"/>
      <c r="G46" s="18"/>
      <c r="H46" s="18"/>
      <c r="I46" s="19"/>
    </row>
    <row r="47" spans="2:9" ht="21.75" customHeight="1" x14ac:dyDescent="0.35">
      <c r="B47" s="23" t="s">
        <v>102</v>
      </c>
      <c r="C47" s="18"/>
      <c r="D47" s="19"/>
      <c r="E47" s="17"/>
      <c r="F47" s="18"/>
      <c r="G47" s="18"/>
      <c r="H47" s="18"/>
      <c r="I47" s="19"/>
    </row>
    <row r="48" spans="2:9" ht="21.75" customHeight="1" x14ac:dyDescent="0.35">
      <c r="B48" s="22" t="s">
        <v>109</v>
      </c>
      <c r="C48" s="18"/>
      <c r="D48" s="19"/>
      <c r="E48" s="17"/>
      <c r="F48" s="18"/>
      <c r="G48" s="18"/>
      <c r="H48" s="18"/>
      <c r="I48" s="19"/>
    </row>
    <row r="49" spans="2:9" ht="21.75" customHeight="1" x14ac:dyDescent="0.35">
      <c r="B49" s="23" t="s">
        <v>98</v>
      </c>
      <c r="C49" s="18"/>
      <c r="D49" s="19"/>
      <c r="E49" s="17"/>
      <c r="F49" s="18"/>
      <c r="G49" s="18"/>
      <c r="H49" s="18"/>
      <c r="I49" s="19"/>
    </row>
    <row r="50" spans="2:9" ht="21.75" customHeight="1" x14ac:dyDescent="0.35">
      <c r="B50" s="23" t="s">
        <v>100</v>
      </c>
      <c r="C50" s="18"/>
      <c r="D50" s="19"/>
      <c r="E50" s="17"/>
      <c r="F50" s="18"/>
      <c r="G50" s="18"/>
      <c r="H50" s="18"/>
      <c r="I50" s="19"/>
    </row>
    <row r="51" spans="2:9" ht="21.75" customHeight="1" x14ac:dyDescent="0.35">
      <c r="B51" s="23" t="s">
        <v>102</v>
      </c>
      <c r="C51" s="18"/>
      <c r="D51" s="19"/>
      <c r="E51" s="17"/>
      <c r="F51" s="18"/>
      <c r="G51" s="18"/>
      <c r="H51" s="18"/>
      <c r="I51" s="19"/>
    </row>
    <row r="52" spans="2:9" ht="21.75" customHeight="1" x14ac:dyDescent="0.35">
      <c r="B52" s="22" t="s">
        <v>114</v>
      </c>
      <c r="C52" s="18"/>
      <c r="D52" s="19"/>
      <c r="E52" s="17"/>
      <c r="F52" s="18"/>
      <c r="G52" s="18"/>
      <c r="H52" s="18"/>
      <c r="I52" s="19"/>
    </row>
    <row r="53" spans="2:9" ht="21.75" customHeight="1" x14ac:dyDescent="0.35">
      <c r="B53" s="23" t="s">
        <v>98</v>
      </c>
      <c r="C53" s="18"/>
      <c r="D53" s="19"/>
      <c r="E53" s="17"/>
      <c r="F53" s="18"/>
      <c r="G53" s="18"/>
      <c r="H53" s="18"/>
      <c r="I53" s="19"/>
    </row>
    <row r="54" spans="2:9" ht="21.75" customHeight="1" x14ac:dyDescent="0.35">
      <c r="B54" s="23" t="s">
        <v>100</v>
      </c>
      <c r="C54" s="18"/>
      <c r="D54" s="19"/>
      <c r="E54" s="17"/>
      <c r="F54" s="18"/>
      <c r="G54" s="18"/>
      <c r="H54" s="18"/>
      <c r="I54" s="19"/>
    </row>
    <row r="55" spans="2:9" ht="21.75" customHeight="1" x14ac:dyDescent="0.35">
      <c r="B55" s="23" t="s">
        <v>102</v>
      </c>
      <c r="C55" s="18"/>
      <c r="D55" s="19"/>
      <c r="E55" s="17"/>
      <c r="F55" s="18"/>
      <c r="G55" s="18"/>
      <c r="H55" s="18"/>
      <c r="I55" s="19"/>
    </row>
    <row r="56" spans="2:9" x14ac:dyDescent="0.35">
      <c r="E56" s="17"/>
      <c r="F56" s="18"/>
      <c r="G56" s="18"/>
      <c r="H56" s="18"/>
      <c r="I56" s="19"/>
    </row>
    <row r="57" spans="2:9" ht="21.75" customHeight="1" x14ac:dyDescent="0.35">
      <c r="B57" s="35" t="s">
        <v>119</v>
      </c>
      <c r="C57" s="18"/>
      <c r="D57" s="18"/>
      <c r="E57" s="18"/>
      <c r="F57" s="18"/>
      <c r="G57" s="18"/>
      <c r="H57" s="18"/>
      <c r="I57" s="19"/>
    </row>
    <row r="58" spans="2:9" ht="13.5" customHeight="1" x14ac:dyDescent="0.35">
      <c r="B58" s="29" t="s">
        <v>120</v>
      </c>
      <c r="C58" s="21"/>
      <c r="D58" s="21"/>
      <c r="E58" s="21"/>
      <c r="F58" s="21"/>
      <c r="G58" s="21"/>
      <c r="H58" s="21"/>
      <c r="I58" s="21"/>
    </row>
    <row r="59" spans="2:9" ht="18" customHeight="1" x14ac:dyDescent="0.35">
      <c r="B59" s="27" t="s">
        <v>121</v>
      </c>
      <c r="C59" s="18"/>
      <c r="D59" s="18"/>
      <c r="E59" s="18"/>
      <c r="F59" s="18"/>
      <c r="G59" s="18"/>
      <c r="H59" s="18"/>
      <c r="I59" s="19"/>
    </row>
    <row r="60" spans="2:9" ht="18" customHeight="1" x14ac:dyDescent="0.35">
      <c r="B60" s="25" t="s">
        <v>122</v>
      </c>
      <c r="C60" s="18"/>
      <c r="D60" s="19"/>
      <c r="E60" s="20" t="s">
        <v>442</v>
      </c>
      <c r="F60" s="21"/>
      <c r="G60" s="21"/>
      <c r="H60" s="21"/>
      <c r="I60" s="21"/>
    </row>
    <row r="61" spans="2:9" ht="18" customHeight="1" x14ac:dyDescent="0.35">
      <c r="B61" s="25" t="s">
        <v>124</v>
      </c>
      <c r="C61" s="18"/>
      <c r="D61" s="19"/>
      <c r="E61" s="20" t="s">
        <v>443</v>
      </c>
      <c r="F61" s="21"/>
      <c r="G61" s="21"/>
      <c r="H61" s="21"/>
      <c r="I61" s="21"/>
    </row>
    <row r="62" spans="2:9" ht="18" customHeight="1" x14ac:dyDescent="0.35">
      <c r="B62" s="25" t="s">
        <v>126</v>
      </c>
      <c r="C62" s="18"/>
      <c r="D62" s="19"/>
      <c r="E62" s="20" t="s">
        <v>444</v>
      </c>
      <c r="F62" s="21"/>
      <c r="G62" s="21"/>
      <c r="H62" s="21"/>
      <c r="I62" s="21"/>
    </row>
    <row r="63" spans="2:9" ht="18" customHeight="1" x14ac:dyDescent="0.35">
      <c r="B63" s="25" t="s">
        <v>128</v>
      </c>
      <c r="C63" s="18"/>
      <c r="D63" s="19"/>
      <c r="E63" s="20" t="s">
        <v>445</v>
      </c>
      <c r="F63" s="21"/>
      <c r="G63" s="21"/>
      <c r="H63" s="21"/>
      <c r="I63" s="21"/>
    </row>
    <row r="64" spans="2:9" ht="18" customHeight="1" x14ac:dyDescent="0.35">
      <c r="B64" s="25" t="s">
        <v>130</v>
      </c>
      <c r="C64" s="18"/>
      <c r="D64" s="19"/>
      <c r="E64" s="20" t="s">
        <v>446</v>
      </c>
      <c r="F64" s="21"/>
      <c r="G64" s="21"/>
      <c r="H64" s="21"/>
      <c r="I64" s="21"/>
    </row>
    <row r="66" spans="2:9" ht="18" customHeight="1" x14ac:dyDescent="0.35">
      <c r="B66" s="27" t="s">
        <v>132</v>
      </c>
      <c r="C66" s="18"/>
      <c r="D66" s="18"/>
      <c r="E66" s="18"/>
      <c r="F66" s="18"/>
      <c r="G66" s="18"/>
      <c r="H66" s="18"/>
      <c r="I66" s="19"/>
    </row>
    <row r="67" spans="2:9" ht="18" customHeight="1" x14ac:dyDescent="0.35">
      <c r="B67" s="25" t="s">
        <v>122</v>
      </c>
      <c r="C67" s="18"/>
      <c r="D67" s="19"/>
      <c r="E67" s="20" t="s">
        <v>442</v>
      </c>
      <c r="F67" s="21"/>
      <c r="G67" s="21"/>
      <c r="H67" s="21"/>
      <c r="I67" s="21"/>
    </row>
    <row r="68" spans="2:9" ht="18" customHeight="1" x14ac:dyDescent="0.35">
      <c r="B68" s="25" t="s">
        <v>124</v>
      </c>
      <c r="C68" s="18"/>
      <c r="D68" s="19"/>
      <c r="E68" s="20" t="s">
        <v>443</v>
      </c>
      <c r="F68" s="21"/>
      <c r="G68" s="21"/>
      <c r="H68" s="21"/>
      <c r="I68" s="21"/>
    </row>
    <row r="69" spans="2:9" ht="18" customHeight="1" x14ac:dyDescent="0.35">
      <c r="B69" s="25" t="s">
        <v>126</v>
      </c>
      <c r="C69" s="18"/>
      <c r="D69" s="19"/>
      <c r="E69" s="20" t="s">
        <v>444</v>
      </c>
      <c r="F69" s="21"/>
      <c r="G69" s="21"/>
      <c r="H69" s="21"/>
      <c r="I69" s="21"/>
    </row>
    <row r="70" spans="2:9" ht="18" customHeight="1" x14ac:dyDescent="0.35">
      <c r="B70" s="25" t="s">
        <v>128</v>
      </c>
      <c r="C70" s="18"/>
      <c r="D70" s="19"/>
      <c r="E70" s="20" t="s">
        <v>445</v>
      </c>
      <c r="F70" s="21"/>
      <c r="G70" s="21"/>
      <c r="H70" s="21"/>
      <c r="I70" s="21"/>
    </row>
    <row r="71" spans="2:9" ht="18" customHeight="1" x14ac:dyDescent="0.35">
      <c r="B71" s="25" t="s">
        <v>130</v>
      </c>
      <c r="C71" s="18"/>
      <c r="D71" s="19"/>
      <c r="E71" s="20" t="s">
        <v>446</v>
      </c>
      <c r="F71" s="21"/>
      <c r="G71" s="21"/>
      <c r="H71" s="21"/>
      <c r="I71" s="21"/>
    </row>
    <row r="73" spans="2:9" ht="18" customHeight="1" x14ac:dyDescent="0.35">
      <c r="B73" s="27" t="s">
        <v>138</v>
      </c>
      <c r="C73" s="18"/>
      <c r="D73" s="18"/>
      <c r="E73" s="18"/>
      <c r="F73" s="18"/>
      <c r="G73" s="18"/>
      <c r="H73" s="18"/>
      <c r="I73" s="19"/>
    </row>
    <row r="74" spans="2:9" ht="18" customHeight="1" x14ac:dyDescent="0.35">
      <c r="B74" s="25" t="s">
        <v>122</v>
      </c>
      <c r="C74" s="18"/>
      <c r="D74" s="19"/>
      <c r="E74" s="23" t="s">
        <v>442</v>
      </c>
      <c r="F74" s="18"/>
      <c r="G74" s="18"/>
      <c r="H74" s="18"/>
      <c r="I74" s="19"/>
    </row>
    <row r="75" spans="2:9" ht="18" customHeight="1" x14ac:dyDescent="0.35">
      <c r="B75" s="25" t="s">
        <v>124</v>
      </c>
      <c r="C75" s="18"/>
      <c r="D75" s="19"/>
      <c r="E75" s="23" t="s">
        <v>443</v>
      </c>
      <c r="F75" s="18"/>
      <c r="G75" s="18"/>
      <c r="H75" s="18"/>
      <c r="I75" s="19"/>
    </row>
    <row r="76" spans="2:9" ht="18" customHeight="1" x14ac:dyDescent="0.35">
      <c r="B76" s="25" t="s">
        <v>126</v>
      </c>
      <c r="C76" s="18"/>
      <c r="D76" s="19"/>
      <c r="E76" s="23" t="s">
        <v>444</v>
      </c>
      <c r="F76" s="18"/>
      <c r="G76" s="18"/>
      <c r="H76" s="18"/>
      <c r="I76" s="19"/>
    </row>
    <row r="77" spans="2:9" ht="18" customHeight="1" x14ac:dyDescent="0.35">
      <c r="B77" s="25" t="s">
        <v>128</v>
      </c>
      <c r="C77" s="18"/>
      <c r="D77" s="19"/>
      <c r="E77" s="23" t="s">
        <v>445</v>
      </c>
      <c r="F77" s="18"/>
      <c r="G77" s="18"/>
      <c r="H77" s="18"/>
      <c r="I77" s="19"/>
    </row>
    <row r="78" spans="2:9" ht="18" customHeight="1" x14ac:dyDescent="0.35">
      <c r="B78" s="25" t="s">
        <v>130</v>
      </c>
      <c r="C78" s="18"/>
      <c r="D78" s="19"/>
      <c r="E78" s="23" t="s">
        <v>446</v>
      </c>
      <c r="F78" s="18"/>
      <c r="G78" s="18"/>
      <c r="H78" s="18"/>
      <c r="I78" s="19"/>
    </row>
    <row r="80" spans="2:9" ht="18" customHeight="1" x14ac:dyDescent="0.35">
      <c r="B80" s="27" t="s">
        <v>144</v>
      </c>
      <c r="C80" s="18"/>
      <c r="D80" s="18"/>
      <c r="E80" s="18"/>
      <c r="F80" s="18"/>
      <c r="G80" s="18"/>
      <c r="H80" s="18"/>
      <c r="I80" s="19"/>
    </row>
    <row r="81" spans="2:9" ht="18" customHeight="1" x14ac:dyDescent="0.35">
      <c r="B81" s="25" t="s">
        <v>122</v>
      </c>
      <c r="C81" s="18"/>
      <c r="D81" s="19"/>
      <c r="E81" s="23" t="s">
        <v>442</v>
      </c>
      <c r="F81" s="18"/>
      <c r="G81" s="18"/>
      <c r="H81" s="18"/>
      <c r="I81" s="19"/>
    </row>
    <row r="82" spans="2:9" ht="18" customHeight="1" x14ac:dyDescent="0.35">
      <c r="B82" s="25" t="s">
        <v>124</v>
      </c>
      <c r="C82" s="18"/>
      <c r="D82" s="19"/>
      <c r="E82" s="23" t="s">
        <v>443</v>
      </c>
      <c r="F82" s="18"/>
      <c r="G82" s="18"/>
      <c r="H82" s="18"/>
      <c r="I82" s="19"/>
    </row>
    <row r="83" spans="2:9" ht="18" customHeight="1" x14ac:dyDescent="0.35">
      <c r="B83" s="25" t="s">
        <v>126</v>
      </c>
      <c r="C83" s="18"/>
      <c r="D83" s="19"/>
      <c r="E83" s="23" t="s">
        <v>444</v>
      </c>
      <c r="F83" s="18"/>
      <c r="G83" s="18"/>
      <c r="H83" s="18"/>
      <c r="I83" s="19"/>
    </row>
    <row r="84" spans="2:9" ht="18" customHeight="1" x14ac:dyDescent="0.35">
      <c r="B84" s="25" t="s">
        <v>128</v>
      </c>
      <c r="C84" s="18"/>
      <c r="D84" s="19"/>
      <c r="E84" s="23" t="s">
        <v>445</v>
      </c>
      <c r="F84" s="18"/>
      <c r="G84" s="18"/>
      <c r="H84" s="18"/>
      <c r="I84" s="19"/>
    </row>
    <row r="85" spans="2:9" ht="18" customHeight="1" x14ac:dyDescent="0.35">
      <c r="B85" s="25" t="s">
        <v>130</v>
      </c>
      <c r="C85" s="18"/>
      <c r="D85" s="19"/>
      <c r="E85" s="23" t="s">
        <v>446</v>
      </c>
      <c r="F85" s="18"/>
      <c r="G85" s="18"/>
      <c r="H85" s="18"/>
      <c r="I85" s="19"/>
    </row>
    <row r="87" spans="2:9" ht="18" customHeight="1" x14ac:dyDescent="0.35">
      <c r="B87" s="27" t="s">
        <v>150</v>
      </c>
      <c r="C87" s="18"/>
      <c r="D87" s="18"/>
      <c r="E87" s="18"/>
      <c r="F87" s="18"/>
      <c r="G87" s="18"/>
      <c r="H87" s="18"/>
      <c r="I87" s="19"/>
    </row>
    <row r="88" spans="2:9" ht="18" customHeight="1" x14ac:dyDescent="0.35">
      <c r="B88" s="25" t="s">
        <v>122</v>
      </c>
      <c r="C88" s="18"/>
      <c r="D88" s="19"/>
      <c r="E88" s="23" t="s">
        <v>442</v>
      </c>
      <c r="F88" s="18"/>
      <c r="G88" s="18"/>
      <c r="H88" s="18"/>
      <c r="I88" s="19"/>
    </row>
    <row r="89" spans="2:9" ht="18" customHeight="1" x14ac:dyDescent="0.35">
      <c r="B89" s="25" t="s">
        <v>124</v>
      </c>
      <c r="C89" s="18"/>
      <c r="D89" s="19"/>
      <c r="E89" s="23" t="s">
        <v>443</v>
      </c>
      <c r="F89" s="18"/>
      <c r="G89" s="18"/>
      <c r="H89" s="18"/>
      <c r="I89" s="19"/>
    </row>
    <row r="90" spans="2:9" ht="18" customHeight="1" x14ac:dyDescent="0.35">
      <c r="B90" s="25" t="s">
        <v>126</v>
      </c>
      <c r="C90" s="18"/>
      <c r="D90" s="19"/>
      <c r="E90" s="23" t="s">
        <v>444</v>
      </c>
      <c r="F90" s="18"/>
      <c r="G90" s="18"/>
      <c r="H90" s="18"/>
      <c r="I90" s="19"/>
    </row>
    <row r="91" spans="2:9" ht="18" customHeight="1" x14ac:dyDescent="0.35">
      <c r="B91" s="25" t="s">
        <v>128</v>
      </c>
      <c r="C91" s="18"/>
      <c r="D91" s="19"/>
      <c r="E91" s="23" t="s">
        <v>445</v>
      </c>
      <c r="F91" s="18"/>
      <c r="G91" s="18"/>
      <c r="H91" s="18"/>
      <c r="I91" s="19"/>
    </row>
    <row r="92" spans="2:9" ht="18" customHeight="1" x14ac:dyDescent="0.35">
      <c r="B92" s="25" t="s">
        <v>130</v>
      </c>
      <c r="C92" s="18"/>
      <c r="D92" s="19"/>
      <c r="E92" s="23" t="s">
        <v>446</v>
      </c>
      <c r="F92" s="18"/>
      <c r="G92" s="18"/>
      <c r="H92" s="18"/>
      <c r="I92" s="19"/>
    </row>
    <row r="94" spans="2:9" ht="15.75" customHeight="1" x14ac:dyDescent="0.35">
      <c r="B94" s="31" t="s">
        <v>452</v>
      </c>
      <c r="C94" s="18"/>
      <c r="D94" s="18"/>
      <c r="E94" s="18"/>
      <c r="F94" s="18"/>
      <c r="G94" s="18"/>
      <c r="H94" s="18"/>
      <c r="I94" s="19"/>
    </row>
  </sheetData>
  <mergeCells count="106">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E68:I68"/>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E55:I55"/>
    <mergeCell ref="E52:I52"/>
    <mergeCell ref="E67:I67"/>
    <mergeCell ref="B44:D44"/>
    <mergeCell ref="B53:D53"/>
    <mergeCell ref="E39:I39"/>
    <mergeCell ref="E48:I48"/>
    <mergeCell ref="E60:I60"/>
    <mergeCell ref="B51:D51"/>
    <mergeCell ref="B41:D41"/>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I94"/>
  <sheetViews>
    <sheetView showGridLines="0" topLeftCell="E69" zoomScaleNormal="100" workbookViewId="0">
      <selection activeCell="E71" sqref="E71"/>
    </sheetView>
  </sheetViews>
  <sheetFormatPr defaultColWidth="8.54296875" defaultRowHeight="14.5" x14ac:dyDescent="0.35"/>
  <cols>
    <col min="1" max="1" width="3" customWidth="1"/>
    <col min="2" max="2" width="12" customWidth="1"/>
    <col min="3" max="3" width="6" customWidth="1"/>
    <col min="4" max="4" width="12.7265625" customWidth="1"/>
    <col min="5" max="5" width="32" customWidth="1"/>
    <col min="6" max="6" width="20" customWidth="1"/>
    <col min="7" max="7" width="12" customWidth="1"/>
    <col min="8" max="8" width="28" customWidth="1"/>
    <col min="9" max="9" width="22" customWidth="1"/>
  </cols>
  <sheetData>
    <row r="1" spans="2:9" ht="13.5" customHeight="1" x14ac:dyDescent="0.35"/>
    <row r="2" spans="2:9" ht="33.75" customHeight="1" x14ac:dyDescent="0.35">
      <c r="B2" s="33" t="s">
        <v>235</v>
      </c>
      <c r="C2" s="18"/>
      <c r="D2" s="18"/>
      <c r="E2" s="18"/>
      <c r="F2" s="18"/>
      <c r="G2" s="18"/>
      <c r="H2" s="18"/>
      <c r="I2" s="19"/>
    </row>
    <row r="3" spans="2:9" ht="15.75" customHeight="1" x14ac:dyDescent="0.35">
      <c r="B3" s="32" t="s">
        <v>1</v>
      </c>
      <c r="C3" s="21"/>
      <c r="D3" s="21"/>
      <c r="E3" s="21"/>
      <c r="F3" s="21"/>
      <c r="G3" s="21"/>
      <c r="H3" s="21"/>
      <c r="I3" s="21"/>
    </row>
    <row r="5" spans="2:9" ht="21.75" customHeight="1" x14ac:dyDescent="0.35">
      <c r="B5" s="28" t="s">
        <v>2</v>
      </c>
      <c r="C5" s="18"/>
      <c r="D5" s="18"/>
      <c r="E5" s="18"/>
      <c r="F5" s="18"/>
      <c r="G5" s="18"/>
      <c r="H5" s="18"/>
      <c r="I5" s="19"/>
    </row>
    <row r="6" spans="2:9" ht="13.5" customHeight="1" x14ac:dyDescent="0.35">
      <c r="B6" s="29" t="s">
        <v>3</v>
      </c>
      <c r="C6" s="21"/>
      <c r="D6" s="21"/>
      <c r="E6" s="21"/>
      <c r="F6" s="21"/>
      <c r="G6" s="21"/>
      <c r="H6" s="21"/>
      <c r="I6" s="21"/>
    </row>
    <row r="7" spans="2:9" ht="19.5" customHeight="1" x14ac:dyDescent="0.35">
      <c r="B7" s="5" t="s">
        <v>4</v>
      </c>
      <c r="C7" s="5" t="s">
        <v>5</v>
      </c>
      <c r="D7" s="5" t="s">
        <v>6</v>
      </c>
      <c r="E7" s="5" t="s">
        <v>7</v>
      </c>
      <c r="F7" s="5" t="s">
        <v>8</v>
      </c>
      <c r="G7" s="5" t="s">
        <v>9</v>
      </c>
      <c r="H7" s="5" t="s">
        <v>10</v>
      </c>
      <c r="I7" s="5" t="s">
        <v>11</v>
      </c>
    </row>
    <row r="8" spans="2:9" ht="18" customHeight="1" x14ac:dyDescent="0.35">
      <c r="B8" s="4"/>
      <c r="C8" s="4"/>
      <c r="D8" s="4"/>
      <c r="E8" s="4"/>
      <c r="F8" s="4"/>
      <c r="G8" s="4"/>
      <c r="H8" s="4"/>
      <c r="I8" s="4"/>
    </row>
    <row r="9" spans="2:9" ht="18" customHeight="1" x14ac:dyDescent="0.35">
      <c r="B9" s="4"/>
      <c r="C9" s="4"/>
      <c r="D9" s="4"/>
      <c r="E9" s="4"/>
      <c r="F9" s="4"/>
      <c r="G9" s="4"/>
      <c r="H9" s="4"/>
      <c r="I9" s="4"/>
    </row>
    <row r="10" spans="2:9" ht="18" customHeight="1" x14ac:dyDescent="0.35">
      <c r="B10" s="4"/>
      <c r="C10" s="4"/>
      <c r="D10" s="4"/>
      <c r="E10" s="4"/>
      <c r="F10" s="4"/>
      <c r="G10" s="4"/>
      <c r="H10" s="4"/>
      <c r="I10" s="4"/>
    </row>
    <row r="11" spans="2:9" ht="18" customHeight="1" x14ac:dyDescent="0.35">
      <c r="B11" s="4"/>
      <c r="C11" s="4"/>
      <c r="D11" s="4"/>
      <c r="E11" s="4"/>
      <c r="F11" s="4"/>
      <c r="G11" s="4"/>
      <c r="H11" s="4"/>
      <c r="I11" s="4"/>
    </row>
    <row r="12" spans="2:9" ht="18" customHeight="1" x14ac:dyDescent="0.35">
      <c r="B12" s="4"/>
      <c r="C12" s="4"/>
      <c r="D12" s="4"/>
      <c r="E12" s="4"/>
      <c r="F12" s="4"/>
      <c r="G12" s="4"/>
      <c r="H12" s="4"/>
      <c r="I12" s="4"/>
    </row>
    <row r="13" spans="2:9" ht="18" customHeight="1" x14ac:dyDescent="0.35">
      <c r="B13" s="4"/>
      <c r="C13" s="4"/>
      <c r="D13" s="4"/>
      <c r="E13" s="4"/>
      <c r="F13" s="4"/>
      <c r="G13" s="4"/>
      <c r="H13" s="4"/>
      <c r="I13" s="4"/>
    </row>
    <row r="14" spans="2:9" ht="18" customHeight="1" x14ac:dyDescent="0.35">
      <c r="B14" s="4"/>
      <c r="C14" s="4"/>
      <c r="D14" s="4"/>
      <c r="E14" s="4"/>
      <c r="F14" s="4"/>
      <c r="G14" s="4"/>
      <c r="H14" s="4"/>
      <c r="I14" s="4"/>
    </row>
    <row r="15" spans="2:9" ht="18" customHeight="1" x14ac:dyDescent="0.35">
      <c r="B15" s="4"/>
      <c r="C15" s="4"/>
      <c r="D15" s="4"/>
      <c r="E15" s="4"/>
      <c r="F15" s="4"/>
      <c r="G15" s="4"/>
      <c r="H15" s="4"/>
      <c r="I15" s="4"/>
    </row>
    <row r="17" spans="2:9" ht="21.75" customHeight="1" x14ac:dyDescent="0.35">
      <c r="B17" s="26" t="s">
        <v>55</v>
      </c>
      <c r="C17" s="18"/>
      <c r="D17" s="18"/>
      <c r="E17" s="18"/>
      <c r="F17" s="18"/>
      <c r="G17" s="18"/>
      <c r="H17" s="18"/>
      <c r="I17" s="19"/>
    </row>
    <row r="18" spans="2:9" ht="13.5" customHeight="1" x14ac:dyDescent="0.35">
      <c r="B18" s="29" t="s">
        <v>56</v>
      </c>
      <c r="C18" s="21"/>
      <c r="D18" s="21"/>
      <c r="E18" s="21"/>
      <c r="F18" s="21"/>
      <c r="G18" s="21"/>
      <c r="H18" s="21"/>
      <c r="I18" s="21"/>
    </row>
    <row r="19" spans="2:9" ht="19.5" customHeight="1" x14ac:dyDescent="0.35">
      <c r="B19" s="2" t="s">
        <v>57</v>
      </c>
      <c r="C19" s="2" t="s">
        <v>5</v>
      </c>
      <c r="D19" s="34" t="s">
        <v>58</v>
      </c>
      <c r="E19" s="18"/>
      <c r="F19" s="19"/>
      <c r="G19" s="34" t="s">
        <v>59</v>
      </c>
      <c r="H19" s="19"/>
      <c r="I19" s="2" t="s">
        <v>60</v>
      </c>
    </row>
    <row r="20" spans="2:9" ht="15.75" customHeight="1" x14ac:dyDescent="0.35">
      <c r="B20" s="30" t="s">
        <v>61</v>
      </c>
      <c r="C20" s="18"/>
      <c r="D20" s="18"/>
      <c r="E20" s="18"/>
      <c r="F20" s="18"/>
      <c r="G20" s="18"/>
      <c r="H20" s="18"/>
      <c r="I20" s="19"/>
    </row>
    <row r="21" spans="2:9" ht="18" customHeight="1" x14ac:dyDescent="0.35">
      <c r="B21" s="4"/>
      <c r="C21" s="4"/>
      <c r="D21" s="4"/>
      <c r="E21" s="4"/>
      <c r="F21" s="4"/>
      <c r="G21" s="4"/>
      <c r="H21" s="4"/>
      <c r="I21" s="4"/>
    </row>
    <row r="22" spans="2:9" ht="18" customHeight="1" x14ac:dyDescent="0.35">
      <c r="B22" s="4"/>
      <c r="C22" s="4"/>
      <c r="D22" s="4"/>
      <c r="E22" s="4"/>
      <c r="F22" s="4"/>
      <c r="G22" s="4"/>
      <c r="H22" s="4"/>
      <c r="I22" s="4"/>
    </row>
    <row r="23" spans="2:9" ht="18" customHeight="1" x14ac:dyDescent="0.35">
      <c r="B23" s="4"/>
      <c r="C23" s="4"/>
      <c r="D23" s="4"/>
      <c r="E23" s="4"/>
      <c r="F23" s="4"/>
      <c r="G23" s="4"/>
      <c r="H23" s="4"/>
      <c r="I23" s="4"/>
    </row>
    <row r="24" spans="2:9" ht="15.75" customHeight="1" x14ac:dyDescent="0.35">
      <c r="B24" s="30" t="s">
        <v>70</v>
      </c>
      <c r="C24" s="18"/>
      <c r="D24" s="18"/>
      <c r="E24" s="18"/>
      <c r="F24" s="18"/>
      <c r="G24" s="18"/>
      <c r="H24" s="18"/>
      <c r="I24" s="19"/>
    </row>
    <row r="25" spans="2:9" ht="18" customHeight="1" x14ac:dyDescent="0.35">
      <c r="B25" s="4"/>
      <c r="C25" s="4"/>
      <c r="D25" s="4"/>
      <c r="E25" s="4"/>
      <c r="F25" s="4"/>
      <c r="G25" s="4"/>
      <c r="H25" s="4"/>
      <c r="I25" s="4"/>
    </row>
    <row r="26" spans="2:9" ht="18" customHeight="1" x14ac:dyDescent="0.35">
      <c r="B26" s="4"/>
      <c r="C26" s="4"/>
      <c r="D26" s="4"/>
      <c r="E26" s="4"/>
      <c r="F26" s="4"/>
      <c r="G26" s="4"/>
      <c r="H26" s="4"/>
      <c r="I26" s="4"/>
    </row>
    <row r="27" spans="2:9" ht="18" customHeight="1" x14ac:dyDescent="0.35">
      <c r="B27" s="4"/>
      <c r="C27" s="4"/>
      <c r="D27" s="4"/>
      <c r="E27" s="4"/>
      <c r="F27" s="4"/>
      <c r="G27" s="4"/>
      <c r="H27" s="4"/>
      <c r="I27" s="4"/>
    </row>
    <row r="28" spans="2:9" ht="15.75" customHeight="1" x14ac:dyDescent="0.35">
      <c r="B28" s="30" t="s">
        <v>77</v>
      </c>
      <c r="C28" s="18"/>
      <c r="D28" s="18"/>
      <c r="E28" s="18"/>
      <c r="F28" s="18"/>
      <c r="G28" s="18"/>
      <c r="H28" s="18"/>
      <c r="I28" s="19"/>
    </row>
    <row r="29" spans="2:9" ht="18" customHeight="1" x14ac:dyDescent="0.35">
      <c r="B29" s="4"/>
      <c r="C29" s="4"/>
      <c r="D29" s="4"/>
      <c r="E29" s="4"/>
      <c r="F29" s="4"/>
      <c r="G29" s="4"/>
      <c r="H29" s="4"/>
      <c r="I29" s="4"/>
    </row>
    <row r="30" spans="2:9" ht="18" customHeight="1" x14ac:dyDescent="0.35">
      <c r="B30" s="4"/>
      <c r="C30" s="4"/>
      <c r="D30" s="4"/>
      <c r="E30" s="4"/>
      <c r="F30" s="4"/>
      <c r="G30" s="4"/>
      <c r="H30" s="4"/>
      <c r="I30" s="4"/>
    </row>
    <row r="31" spans="2:9" ht="18" customHeight="1" x14ac:dyDescent="0.35">
      <c r="B31" s="4"/>
      <c r="C31" s="4"/>
      <c r="D31" s="4"/>
      <c r="E31" s="4"/>
      <c r="F31" s="4"/>
      <c r="G31" s="4"/>
      <c r="H31" s="4"/>
      <c r="I31" s="4"/>
    </row>
    <row r="32" spans="2:9" ht="15.75" customHeight="1" x14ac:dyDescent="0.35">
      <c r="B32" s="30" t="s">
        <v>85</v>
      </c>
      <c r="C32" s="18"/>
      <c r="D32" s="18"/>
      <c r="E32" s="18"/>
      <c r="F32" s="18"/>
      <c r="G32" s="18"/>
      <c r="H32" s="18"/>
      <c r="I32" s="19"/>
    </row>
    <row r="33" spans="2:9" ht="18" customHeight="1" x14ac:dyDescent="0.35">
      <c r="B33" s="4"/>
      <c r="C33" s="4"/>
      <c r="D33" s="4"/>
      <c r="E33" s="4"/>
      <c r="F33" s="4"/>
      <c r="G33" s="4"/>
      <c r="H33" s="4"/>
      <c r="I33" s="4"/>
    </row>
    <row r="34" spans="2:9" ht="18" customHeight="1" x14ac:dyDescent="0.35">
      <c r="B34" s="4"/>
      <c r="C34" s="4"/>
      <c r="D34" s="4"/>
      <c r="E34" s="4"/>
      <c r="F34" s="4"/>
      <c r="G34" s="4"/>
      <c r="H34" s="4"/>
      <c r="I34" s="4"/>
    </row>
    <row r="35" spans="2:9" ht="18" customHeight="1" x14ac:dyDescent="0.35">
      <c r="B35" s="4"/>
      <c r="C35" s="4"/>
      <c r="D35" s="4"/>
      <c r="E35" s="4"/>
      <c r="F35" s="4"/>
      <c r="G35" s="4"/>
      <c r="H35" s="4"/>
      <c r="I35" s="4"/>
    </row>
    <row r="37" spans="2:9" ht="21.75" customHeight="1" x14ac:dyDescent="0.35">
      <c r="B37" s="36" t="s">
        <v>90</v>
      </c>
      <c r="C37" s="18"/>
      <c r="D37" s="18"/>
      <c r="E37" s="18"/>
      <c r="F37" s="18"/>
      <c r="G37" s="18"/>
      <c r="H37" s="18"/>
      <c r="I37" s="19"/>
    </row>
    <row r="38" spans="2:9" ht="13.5" customHeight="1" x14ac:dyDescent="0.35">
      <c r="B38" s="29" t="s">
        <v>91</v>
      </c>
      <c r="C38" s="21"/>
      <c r="D38" s="21"/>
      <c r="E38" s="21"/>
      <c r="F38" s="21"/>
      <c r="G38" s="21"/>
      <c r="H38" s="21"/>
      <c r="I38" s="21"/>
    </row>
    <row r="39" spans="2:9" ht="19.5" customHeight="1" x14ac:dyDescent="0.35">
      <c r="B39" s="1" t="s">
        <v>92</v>
      </c>
      <c r="C39" s="1" t="s">
        <v>93</v>
      </c>
      <c r="D39" s="1" t="s">
        <v>94</v>
      </c>
      <c r="E39" s="24" t="s">
        <v>95</v>
      </c>
      <c r="F39" s="18"/>
      <c r="G39" s="18"/>
      <c r="H39" s="18"/>
      <c r="I39" s="19"/>
    </row>
    <row r="40" spans="2:9" ht="21.75" customHeight="1" x14ac:dyDescent="0.35">
      <c r="B40" s="22" t="s">
        <v>96</v>
      </c>
      <c r="C40" s="18"/>
      <c r="D40" s="19"/>
      <c r="E40" s="17"/>
      <c r="F40" s="18"/>
      <c r="G40" s="18"/>
      <c r="H40" s="18"/>
      <c r="I40" s="19"/>
    </row>
    <row r="41" spans="2:9" ht="21.75" customHeight="1" x14ac:dyDescent="0.35">
      <c r="B41" s="23" t="s">
        <v>98</v>
      </c>
      <c r="C41" s="18"/>
      <c r="D41" s="19"/>
      <c r="E41" s="17"/>
      <c r="F41" s="18"/>
      <c r="G41" s="18"/>
      <c r="H41" s="18"/>
      <c r="I41" s="19"/>
    </row>
    <row r="42" spans="2:9" ht="21.75" customHeight="1" x14ac:dyDescent="0.35">
      <c r="B42" s="23" t="s">
        <v>100</v>
      </c>
      <c r="C42" s="18"/>
      <c r="D42" s="19"/>
      <c r="E42" s="17"/>
      <c r="F42" s="18"/>
      <c r="G42" s="18"/>
      <c r="H42" s="18"/>
      <c r="I42" s="19"/>
    </row>
    <row r="43" spans="2:9" ht="21.75" customHeight="1" x14ac:dyDescent="0.35">
      <c r="B43" s="23" t="s">
        <v>102</v>
      </c>
      <c r="C43" s="18"/>
      <c r="D43" s="19"/>
      <c r="E43" s="17"/>
      <c r="F43" s="18"/>
      <c r="G43" s="18"/>
      <c r="H43" s="18"/>
      <c r="I43" s="19"/>
    </row>
    <row r="44" spans="2:9" ht="21.75" customHeight="1" x14ac:dyDescent="0.35">
      <c r="B44" s="22" t="s">
        <v>104</v>
      </c>
      <c r="C44" s="18"/>
      <c r="D44" s="19"/>
      <c r="E44" s="17"/>
      <c r="F44" s="18"/>
      <c r="G44" s="18"/>
      <c r="H44" s="18"/>
      <c r="I44" s="19"/>
    </row>
    <row r="45" spans="2:9" ht="21.75" customHeight="1" x14ac:dyDescent="0.35">
      <c r="B45" s="23" t="s">
        <v>98</v>
      </c>
      <c r="C45" s="18"/>
      <c r="D45" s="19"/>
      <c r="E45" s="17"/>
      <c r="F45" s="18"/>
      <c r="G45" s="18"/>
      <c r="H45" s="18"/>
      <c r="I45" s="19"/>
    </row>
    <row r="46" spans="2:9" ht="21.75" customHeight="1" x14ac:dyDescent="0.35">
      <c r="B46" s="23" t="s">
        <v>100</v>
      </c>
      <c r="C46" s="18"/>
      <c r="D46" s="19"/>
      <c r="E46" s="17"/>
      <c r="F46" s="18"/>
      <c r="G46" s="18"/>
      <c r="H46" s="18"/>
      <c r="I46" s="19"/>
    </row>
    <row r="47" spans="2:9" ht="21.75" customHeight="1" x14ac:dyDescent="0.35">
      <c r="B47" s="23" t="s">
        <v>102</v>
      </c>
      <c r="C47" s="18"/>
      <c r="D47" s="19"/>
      <c r="E47" s="17"/>
      <c r="F47" s="18"/>
      <c r="G47" s="18"/>
      <c r="H47" s="18"/>
      <c r="I47" s="19"/>
    </row>
    <row r="48" spans="2:9" ht="21.75" customHeight="1" x14ac:dyDescent="0.35">
      <c r="B48" s="22" t="s">
        <v>109</v>
      </c>
      <c r="C48" s="18"/>
      <c r="D48" s="19"/>
      <c r="E48" s="17"/>
      <c r="F48" s="18"/>
      <c r="G48" s="18"/>
      <c r="H48" s="18"/>
      <c r="I48" s="19"/>
    </row>
    <row r="49" spans="2:9" ht="21.75" customHeight="1" x14ac:dyDescent="0.35">
      <c r="B49" s="23" t="s">
        <v>98</v>
      </c>
      <c r="C49" s="18"/>
      <c r="D49" s="19"/>
      <c r="E49" s="17"/>
      <c r="F49" s="18"/>
      <c r="G49" s="18"/>
      <c r="H49" s="18"/>
      <c r="I49" s="19"/>
    </row>
    <row r="50" spans="2:9" ht="21.75" customHeight="1" x14ac:dyDescent="0.35">
      <c r="B50" s="23" t="s">
        <v>100</v>
      </c>
      <c r="C50" s="18"/>
      <c r="D50" s="19"/>
      <c r="E50" s="17"/>
      <c r="F50" s="18"/>
      <c r="G50" s="18"/>
      <c r="H50" s="18"/>
      <c r="I50" s="19"/>
    </row>
    <row r="51" spans="2:9" ht="21.75" customHeight="1" x14ac:dyDescent="0.35">
      <c r="B51" s="23" t="s">
        <v>102</v>
      </c>
      <c r="C51" s="18"/>
      <c r="D51" s="19"/>
      <c r="E51" s="17"/>
      <c r="F51" s="18"/>
      <c r="G51" s="18"/>
      <c r="H51" s="18"/>
      <c r="I51" s="19"/>
    </row>
    <row r="52" spans="2:9" ht="21.75" customHeight="1" x14ac:dyDescent="0.35">
      <c r="B52" s="22" t="s">
        <v>114</v>
      </c>
      <c r="C52" s="18"/>
      <c r="D52" s="19"/>
      <c r="E52" s="17"/>
      <c r="F52" s="18"/>
      <c r="G52" s="18"/>
      <c r="H52" s="18"/>
      <c r="I52" s="19"/>
    </row>
    <row r="53" spans="2:9" ht="21.75" customHeight="1" x14ac:dyDescent="0.35">
      <c r="B53" s="23" t="s">
        <v>98</v>
      </c>
      <c r="C53" s="18"/>
      <c r="D53" s="19"/>
      <c r="E53" s="17"/>
      <c r="F53" s="18"/>
      <c r="G53" s="18"/>
      <c r="H53" s="18"/>
      <c r="I53" s="19"/>
    </row>
    <row r="54" spans="2:9" ht="21.75" customHeight="1" x14ac:dyDescent="0.35">
      <c r="B54" s="23" t="s">
        <v>100</v>
      </c>
      <c r="C54" s="18"/>
      <c r="D54" s="19"/>
      <c r="E54" s="17"/>
      <c r="F54" s="18"/>
      <c r="G54" s="18"/>
      <c r="H54" s="18"/>
      <c r="I54" s="19"/>
    </row>
    <row r="55" spans="2:9" ht="21.75" customHeight="1" x14ac:dyDescent="0.35">
      <c r="B55" s="23" t="s">
        <v>102</v>
      </c>
      <c r="C55" s="18"/>
      <c r="D55" s="19"/>
      <c r="E55" s="17"/>
      <c r="F55" s="18"/>
      <c r="G55" s="18"/>
      <c r="H55" s="18"/>
      <c r="I55" s="19"/>
    </row>
    <row r="56" spans="2:9" x14ac:dyDescent="0.35">
      <c r="E56" s="17"/>
      <c r="F56" s="18"/>
      <c r="G56" s="18"/>
      <c r="H56" s="18"/>
      <c r="I56" s="19"/>
    </row>
    <row r="57" spans="2:9" ht="21.75" customHeight="1" x14ac:dyDescent="0.35">
      <c r="B57" s="35" t="s">
        <v>119</v>
      </c>
      <c r="C57" s="18"/>
      <c r="D57" s="18"/>
      <c r="E57" s="18"/>
      <c r="F57" s="18"/>
      <c r="G57" s="18"/>
      <c r="H57" s="18"/>
      <c r="I57" s="19"/>
    </row>
    <row r="58" spans="2:9" ht="13.5" customHeight="1" x14ac:dyDescent="0.35">
      <c r="B58" s="29" t="s">
        <v>120</v>
      </c>
      <c r="C58" s="21"/>
      <c r="D58" s="21"/>
      <c r="E58" s="21"/>
      <c r="F58" s="21"/>
      <c r="G58" s="21"/>
      <c r="H58" s="21"/>
      <c r="I58" s="21"/>
    </row>
    <row r="59" spans="2:9" ht="18" customHeight="1" x14ac:dyDescent="0.35">
      <c r="B59" s="27" t="s">
        <v>121</v>
      </c>
      <c r="C59" s="18"/>
      <c r="D59" s="18"/>
      <c r="E59" s="18"/>
      <c r="F59" s="18"/>
      <c r="G59" s="18"/>
      <c r="H59" s="18"/>
      <c r="I59" s="19"/>
    </row>
    <row r="60" spans="2:9" ht="18" customHeight="1" x14ac:dyDescent="0.35">
      <c r="B60" s="25" t="s">
        <v>122</v>
      </c>
      <c r="C60" s="18"/>
      <c r="D60" s="19"/>
      <c r="E60" s="20" t="s">
        <v>442</v>
      </c>
      <c r="F60" s="21"/>
      <c r="G60" s="21"/>
      <c r="H60" s="21"/>
      <c r="I60" s="21"/>
    </row>
    <row r="61" spans="2:9" ht="18" customHeight="1" x14ac:dyDescent="0.35">
      <c r="B61" s="25" t="s">
        <v>124</v>
      </c>
      <c r="C61" s="18"/>
      <c r="D61" s="19"/>
      <c r="E61" s="20" t="s">
        <v>443</v>
      </c>
      <c r="F61" s="21"/>
      <c r="G61" s="21"/>
      <c r="H61" s="21"/>
      <c r="I61" s="21"/>
    </row>
    <row r="62" spans="2:9" ht="18" customHeight="1" x14ac:dyDescent="0.35">
      <c r="B62" s="25" t="s">
        <v>126</v>
      </c>
      <c r="C62" s="18"/>
      <c r="D62" s="19"/>
      <c r="E62" s="20" t="s">
        <v>444</v>
      </c>
      <c r="F62" s="21"/>
      <c r="G62" s="21"/>
      <c r="H62" s="21"/>
      <c r="I62" s="21"/>
    </row>
    <row r="63" spans="2:9" ht="18" customHeight="1" x14ac:dyDescent="0.35">
      <c r="B63" s="25" t="s">
        <v>128</v>
      </c>
      <c r="C63" s="18"/>
      <c r="D63" s="19"/>
      <c r="E63" s="20" t="s">
        <v>445</v>
      </c>
      <c r="F63" s="21"/>
      <c r="G63" s="21"/>
      <c r="H63" s="21"/>
      <c r="I63" s="21"/>
    </row>
    <row r="64" spans="2:9" ht="18" customHeight="1" x14ac:dyDescent="0.35">
      <c r="B64" s="25" t="s">
        <v>130</v>
      </c>
      <c r="C64" s="18"/>
      <c r="D64" s="19"/>
      <c r="E64" s="20" t="s">
        <v>446</v>
      </c>
      <c r="F64" s="21"/>
      <c r="G64" s="21"/>
      <c r="H64" s="21"/>
      <c r="I64" s="21"/>
    </row>
    <row r="66" spans="2:9" ht="18" customHeight="1" x14ac:dyDescent="0.35">
      <c r="B66" s="27" t="s">
        <v>132</v>
      </c>
      <c r="C66" s="18"/>
      <c r="D66" s="18"/>
      <c r="E66" s="18"/>
      <c r="F66" s="18"/>
      <c r="G66" s="18"/>
      <c r="H66" s="18"/>
      <c r="I66" s="19"/>
    </row>
    <row r="67" spans="2:9" ht="18" customHeight="1" x14ac:dyDescent="0.35">
      <c r="B67" s="25" t="s">
        <v>122</v>
      </c>
      <c r="C67" s="18"/>
      <c r="D67" s="19"/>
      <c r="E67" s="20" t="s">
        <v>442</v>
      </c>
      <c r="F67" s="21"/>
      <c r="G67" s="21"/>
      <c r="H67" s="21"/>
      <c r="I67" s="21"/>
    </row>
    <row r="68" spans="2:9" ht="18" customHeight="1" x14ac:dyDescent="0.35">
      <c r="B68" s="25" t="s">
        <v>124</v>
      </c>
      <c r="C68" s="18"/>
      <c r="D68" s="19"/>
      <c r="E68" s="20" t="s">
        <v>443</v>
      </c>
      <c r="F68" s="21"/>
      <c r="G68" s="21"/>
      <c r="H68" s="21"/>
      <c r="I68" s="21"/>
    </row>
    <row r="69" spans="2:9" ht="18" customHeight="1" x14ac:dyDescent="0.35">
      <c r="B69" s="25" t="s">
        <v>126</v>
      </c>
      <c r="C69" s="18"/>
      <c r="D69" s="19"/>
      <c r="E69" s="20" t="s">
        <v>444</v>
      </c>
      <c r="F69" s="21"/>
      <c r="G69" s="21"/>
      <c r="H69" s="21"/>
      <c r="I69" s="21"/>
    </row>
    <row r="70" spans="2:9" ht="18" customHeight="1" x14ac:dyDescent="0.35">
      <c r="B70" s="25" t="s">
        <v>128</v>
      </c>
      <c r="C70" s="18"/>
      <c r="D70" s="19"/>
      <c r="E70" s="20" t="s">
        <v>445</v>
      </c>
      <c r="F70" s="21"/>
      <c r="G70" s="21"/>
      <c r="H70" s="21"/>
      <c r="I70" s="21"/>
    </row>
    <row r="71" spans="2:9" ht="18" customHeight="1" x14ac:dyDescent="0.35">
      <c r="B71" s="25" t="s">
        <v>130</v>
      </c>
      <c r="C71" s="18"/>
      <c r="D71" s="19"/>
      <c r="E71" s="20" t="s">
        <v>446</v>
      </c>
      <c r="F71" s="21"/>
      <c r="G71" s="21"/>
      <c r="H71" s="21"/>
      <c r="I71" s="21"/>
    </row>
    <row r="73" spans="2:9" ht="18" customHeight="1" x14ac:dyDescent="0.35">
      <c r="B73" s="27" t="s">
        <v>138</v>
      </c>
      <c r="C73" s="18"/>
      <c r="D73" s="18"/>
      <c r="E73" s="18"/>
      <c r="F73" s="18"/>
      <c r="G73" s="18"/>
      <c r="H73" s="18"/>
      <c r="I73" s="19"/>
    </row>
    <row r="74" spans="2:9" ht="18" customHeight="1" x14ac:dyDescent="0.35">
      <c r="B74" s="25" t="s">
        <v>122</v>
      </c>
      <c r="C74" s="18"/>
      <c r="D74" s="19"/>
      <c r="E74" s="23" t="s">
        <v>442</v>
      </c>
      <c r="F74" s="18"/>
      <c r="G74" s="18"/>
      <c r="H74" s="18"/>
      <c r="I74" s="19"/>
    </row>
    <row r="75" spans="2:9" ht="18" customHeight="1" x14ac:dyDescent="0.35">
      <c r="B75" s="25" t="s">
        <v>124</v>
      </c>
      <c r="C75" s="18"/>
      <c r="D75" s="19"/>
      <c r="E75" s="23" t="s">
        <v>443</v>
      </c>
      <c r="F75" s="18"/>
      <c r="G75" s="18"/>
      <c r="H75" s="18"/>
      <c r="I75" s="19"/>
    </row>
    <row r="76" spans="2:9" ht="18" customHeight="1" x14ac:dyDescent="0.35">
      <c r="B76" s="25" t="s">
        <v>126</v>
      </c>
      <c r="C76" s="18"/>
      <c r="D76" s="19"/>
      <c r="E76" s="23" t="s">
        <v>444</v>
      </c>
      <c r="F76" s="18"/>
      <c r="G76" s="18"/>
      <c r="H76" s="18"/>
      <c r="I76" s="19"/>
    </row>
    <row r="77" spans="2:9" ht="18" customHeight="1" x14ac:dyDescent="0.35">
      <c r="B77" s="25" t="s">
        <v>128</v>
      </c>
      <c r="C77" s="18"/>
      <c r="D77" s="19"/>
      <c r="E77" s="23" t="s">
        <v>445</v>
      </c>
      <c r="F77" s="18"/>
      <c r="G77" s="18"/>
      <c r="H77" s="18"/>
      <c r="I77" s="19"/>
    </row>
    <row r="78" spans="2:9" ht="18" customHeight="1" x14ac:dyDescent="0.35">
      <c r="B78" s="25" t="s">
        <v>130</v>
      </c>
      <c r="C78" s="18"/>
      <c r="D78" s="19"/>
      <c r="E78" s="23" t="s">
        <v>446</v>
      </c>
      <c r="F78" s="18"/>
      <c r="G78" s="18"/>
      <c r="H78" s="18"/>
      <c r="I78" s="19"/>
    </row>
    <row r="80" spans="2:9" ht="18" customHeight="1" x14ac:dyDescent="0.35">
      <c r="B80" s="27" t="s">
        <v>144</v>
      </c>
      <c r="C80" s="18"/>
      <c r="D80" s="18"/>
      <c r="E80" s="18"/>
      <c r="F80" s="18"/>
      <c r="G80" s="18"/>
      <c r="H80" s="18"/>
      <c r="I80" s="19"/>
    </row>
    <row r="81" spans="2:9" ht="18" customHeight="1" x14ac:dyDescent="0.35">
      <c r="B81" s="25" t="s">
        <v>122</v>
      </c>
      <c r="C81" s="18"/>
      <c r="D81" s="19"/>
      <c r="E81" s="23" t="s">
        <v>442</v>
      </c>
      <c r="F81" s="18"/>
      <c r="G81" s="18"/>
      <c r="H81" s="18"/>
      <c r="I81" s="19"/>
    </row>
    <row r="82" spans="2:9" ht="18" customHeight="1" x14ac:dyDescent="0.35">
      <c r="B82" s="25" t="s">
        <v>124</v>
      </c>
      <c r="C82" s="18"/>
      <c r="D82" s="19"/>
      <c r="E82" s="23" t="s">
        <v>443</v>
      </c>
      <c r="F82" s="18"/>
      <c r="G82" s="18"/>
      <c r="H82" s="18"/>
      <c r="I82" s="19"/>
    </row>
    <row r="83" spans="2:9" ht="18" customHeight="1" x14ac:dyDescent="0.35">
      <c r="B83" s="25" t="s">
        <v>126</v>
      </c>
      <c r="C83" s="18"/>
      <c r="D83" s="19"/>
      <c r="E83" s="23" t="s">
        <v>444</v>
      </c>
      <c r="F83" s="18"/>
      <c r="G83" s="18"/>
      <c r="H83" s="18"/>
      <c r="I83" s="19"/>
    </row>
    <row r="84" spans="2:9" ht="18" customHeight="1" x14ac:dyDescent="0.35">
      <c r="B84" s="25" t="s">
        <v>128</v>
      </c>
      <c r="C84" s="18"/>
      <c r="D84" s="19"/>
      <c r="E84" s="23" t="s">
        <v>445</v>
      </c>
      <c r="F84" s="18"/>
      <c r="G84" s="18"/>
      <c r="H84" s="18"/>
      <c r="I84" s="19"/>
    </row>
    <row r="85" spans="2:9" ht="18" customHeight="1" x14ac:dyDescent="0.35">
      <c r="B85" s="25" t="s">
        <v>130</v>
      </c>
      <c r="C85" s="18"/>
      <c r="D85" s="19"/>
      <c r="E85" s="23" t="s">
        <v>446</v>
      </c>
      <c r="F85" s="18"/>
      <c r="G85" s="18"/>
      <c r="H85" s="18"/>
      <c r="I85" s="19"/>
    </row>
    <row r="87" spans="2:9" ht="18" customHeight="1" x14ac:dyDescent="0.35">
      <c r="B87" s="27" t="s">
        <v>150</v>
      </c>
      <c r="C87" s="18"/>
      <c r="D87" s="18"/>
      <c r="E87" s="18"/>
      <c r="F87" s="18"/>
      <c r="G87" s="18"/>
      <c r="H87" s="18"/>
      <c r="I87" s="19"/>
    </row>
    <row r="88" spans="2:9" ht="18" customHeight="1" x14ac:dyDescent="0.35">
      <c r="B88" s="25" t="s">
        <v>122</v>
      </c>
      <c r="C88" s="18"/>
      <c r="D88" s="19"/>
      <c r="E88" s="23" t="s">
        <v>442</v>
      </c>
      <c r="F88" s="18"/>
      <c r="G88" s="18"/>
      <c r="H88" s="18"/>
      <c r="I88" s="19"/>
    </row>
    <row r="89" spans="2:9" ht="18" customHeight="1" x14ac:dyDescent="0.35">
      <c r="B89" s="25" t="s">
        <v>124</v>
      </c>
      <c r="C89" s="18"/>
      <c r="D89" s="19"/>
      <c r="E89" s="23" t="s">
        <v>443</v>
      </c>
      <c r="F89" s="18"/>
      <c r="G89" s="18"/>
      <c r="H89" s="18"/>
      <c r="I89" s="19"/>
    </row>
    <row r="90" spans="2:9" ht="18" customHeight="1" x14ac:dyDescent="0.35">
      <c r="B90" s="25" t="s">
        <v>126</v>
      </c>
      <c r="C90" s="18"/>
      <c r="D90" s="19"/>
      <c r="E90" s="23" t="s">
        <v>444</v>
      </c>
      <c r="F90" s="18"/>
      <c r="G90" s="18"/>
      <c r="H90" s="18"/>
      <c r="I90" s="19"/>
    </row>
    <row r="91" spans="2:9" ht="18" customHeight="1" x14ac:dyDescent="0.35">
      <c r="B91" s="25" t="s">
        <v>128</v>
      </c>
      <c r="C91" s="18"/>
      <c r="D91" s="19"/>
      <c r="E91" s="23" t="s">
        <v>445</v>
      </c>
      <c r="F91" s="18"/>
      <c r="G91" s="18"/>
      <c r="H91" s="18"/>
      <c r="I91" s="19"/>
    </row>
    <row r="92" spans="2:9" ht="18" customHeight="1" x14ac:dyDescent="0.35">
      <c r="B92" s="25" t="s">
        <v>130</v>
      </c>
      <c r="C92" s="18"/>
      <c r="D92" s="19"/>
      <c r="E92" s="23" t="s">
        <v>446</v>
      </c>
      <c r="F92" s="18"/>
      <c r="G92" s="18"/>
      <c r="H92" s="18"/>
      <c r="I92" s="19"/>
    </row>
    <row r="94" spans="2:9" ht="15.75" customHeight="1" x14ac:dyDescent="0.35">
      <c r="B94" s="31" t="s">
        <v>453</v>
      </c>
      <c r="C94" s="18"/>
      <c r="D94" s="18"/>
      <c r="E94" s="18"/>
      <c r="F94" s="18"/>
      <c r="G94" s="18"/>
      <c r="H94" s="18"/>
      <c r="I94" s="19"/>
    </row>
  </sheetData>
  <mergeCells count="106">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E68:I68"/>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E55:I55"/>
    <mergeCell ref="E52:I52"/>
    <mergeCell ref="E67:I67"/>
    <mergeCell ref="B44:D44"/>
    <mergeCell ref="B53:D53"/>
    <mergeCell ref="E39:I39"/>
    <mergeCell ref="E48:I48"/>
    <mergeCell ref="E60:I60"/>
    <mergeCell ref="B51:D51"/>
    <mergeCell ref="B41:D41"/>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L22"/>
  <sheetViews>
    <sheetView showGridLines="0" topLeftCell="A7" zoomScaleNormal="100" workbookViewId="0">
      <selection activeCell="D26" sqref="D26"/>
    </sheetView>
  </sheetViews>
  <sheetFormatPr defaultColWidth="8.54296875" defaultRowHeight="14.5" x14ac:dyDescent="0.35"/>
  <cols>
    <col min="1" max="1" width="3" customWidth="1"/>
    <col min="2" max="2" width="12" customWidth="1"/>
    <col min="3" max="6" width="16" customWidth="1"/>
    <col min="7" max="11" width="13" customWidth="1"/>
  </cols>
  <sheetData>
    <row r="1" spans="2:12" ht="13.5" customHeight="1" x14ac:dyDescent="0.35"/>
    <row r="2" spans="2:12" ht="33.75" customHeight="1" x14ac:dyDescent="0.35">
      <c r="B2" s="33" t="s">
        <v>454</v>
      </c>
      <c r="C2" s="18"/>
      <c r="D2" s="18"/>
      <c r="E2" s="18"/>
      <c r="F2" s="18"/>
      <c r="G2" s="18"/>
      <c r="H2" s="18"/>
      <c r="I2" s="18"/>
      <c r="J2" s="18"/>
      <c r="K2" s="18"/>
      <c r="L2" s="19"/>
    </row>
    <row r="4" spans="2:12" ht="19.5" customHeight="1" x14ac:dyDescent="0.35">
      <c r="B4" s="28" t="s">
        <v>455</v>
      </c>
      <c r="C4" s="18"/>
      <c r="D4" s="18"/>
      <c r="E4" s="18"/>
      <c r="F4" s="18"/>
      <c r="G4" s="18"/>
      <c r="H4" s="18"/>
      <c r="I4" s="18"/>
      <c r="J4" s="18"/>
      <c r="K4" s="18"/>
      <c r="L4" s="19"/>
    </row>
    <row r="5" spans="2:12" ht="19.5" customHeight="1" x14ac:dyDescent="0.35">
      <c r="B5" s="5" t="s">
        <v>456</v>
      </c>
      <c r="C5" s="5" t="s">
        <v>457</v>
      </c>
      <c r="D5" s="5" t="s">
        <v>458</v>
      </c>
      <c r="E5" s="5" t="s">
        <v>459</v>
      </c>
      <c r="F5" s="5" t="s">
        <v>460</v>
      </c>
      <c r="G5" s="5" t="s">
        <v>461</v>
      </c>
      <c r="H5" s="5" t="s">
        <v>462</v>
      </c>
      <c r="I5" s="5" t="s">
        <v>52</v>
      </c>
      <c r="J5" s="5" t="s">
        <v>17</v>
      </c>
      <c r="K5" s="5" t="s">
        <v>23</v>
      </c>
      <c r="L5" s="5" t="s">
        <v>60</v>
      </c>
    </row>
    <row r="6" spans="2:12" ht="18" customHeight="1" x14ac:dyDescent="0.35">
      <c r="B6" s="8" t="s">
        <v>463</v>
      </c>
      <c r="C6" s="8">
        <f>COUNTIF(Week_01!$C$8:$C$15,"A")</f>
        <v>1</v>
      </c>
      <c r="D6" s="8">
        <f>COUNTIF(Week_01!$C$8:$C$15,"B")</f>
        <v>2</v>
      </c>
      <c r="E6" s="8">
        <f>COUNTIF(Week_01!$C$8:$C$15,"C")</f>
        <v>2</v>
      </c>
      <c r="F6" s="8">
        <f>COUNTIF(Week_01!$C$8:$C$15,"D")</f>
        <v>1</v>
      </c>
      <c r="G6" s="8">
        <f>COUNTIF(Week_01!$C$8:$C$15,"E")</f>
        <v>2</v>
      </c>
      <c r="H6" s="8">
        <f t="shared" ref="H6:H15" si="0">SUM(C6:G6)</f>
        <v>8</v>
      </c>
      <c r="I6" s="8">
        <f>COUNTIF(Week_01!$G$8:$G$15,"Low")</f>
        <v>0</v>
      </c>
      <c r="J6" s="8">
        <f>COUNTIF(Week_01!$G$8:$G$15,"Medium")</f>
        <v>4</v>
      </c>
      <c r="K6" s="8">
        <f>COUNTIF(Week_01!$G$8:$G$15,"High")</f>
        <v>4</v>
      </c>
      <c r="L6" s="8"/>
    </row>
    <row r="7" spans="2:12" ht="18" customHeight="1" x14ac:dyDescent="0.35">
      <c r="B7" s="8" t="s">
        <v>464</v>
      </c>
      <c r="C7" s="8">
        <f>COUNTIF(Week_02!$C$8:$C$15,"A")</f>
        <v>2</v>
      </c>
      <c r="D7" s="8">
        <f>COUNTIF(Week_02!$C$8:$C$15,"B")</f>
        <v>1</v>
      </c>
      <c r="E7" s="8">
        <f>COUNTIF(Week_02!$C$8:$C$15,"C")</f>
        <v>2</v>
      </c>
      <c r="F7" s="8">
        <f>COUNTIF(Week_02!$C$8:$C$15,"D")</f>
        <v>2</v>
      </c>
      <c r="G7" s="8">
        <f>COUNTIF(Week_02!$C$8:$C$15,"E")</f>
        <v>1</v>
      </c>
      <c r="H7" s="8">
        <f t="shared" si="0"/>
        <v>8</v>
      </c>
      <c r="I7" s="8">
        <f>COUNTIF(Week_02!$G$8:$G$15,"Low")</f>
        <v>0</v>
      </c>
      <c r="J7" s="8">
        <f>COUNTIF(Week_02!$G$8:$G$15,"Medium")</f>
        <v>4</v>
      </c>
      <c r="K7" s="8">
        <f>COUNTIF(Week_02!$G$8:$G$15,"High")</f>
        <v>4</v>
      </c>
      <c r="L7" s="8"/>
    </row>
    <row r="8" spans="2:12" ht="18" customHeight="1" x14ac:dyDescent="0.35">
      <c r="B8" s="8" t="s">
        <v>465</v>
      </c>
      <c r="C8" s="8">
        <f>COUNTIF(Week_03!$C$8:$C$15,"A")</f>
        <v>2</v>
      </c>
      <c r="D8" s="8">
        <f>COUNTIF(Week_03!$C$8:$C$15,"B")</f>
        <v>2</v>
      </c>
      <c r="E8" s="8">
        <f>COUNTIF(Week_03!$C$8:$C$15,"C")</f>
        <v>2</v>
      </c>
      <c r="F8" s="8">
        <f>COUNTIF(Week_03!$C$8:$C$15,"D")</f>
        <v>1</v>
      </c>
      <c r="G8" s="8">
        <f>COUNTIF(Week_03!$C$8:$C$15,"E")</f>
        <v>1</v>
      </c>
      <c r="H8" s="8">
        <f t="shared" si="0"/>
        <v>8</v>
      </c>
      <c r="I8" s="8">
        <f>COUNTIF(Week_03!$G$8:$G$15,"Low")</f>
        <v>1</v>
      </c>
      <c r="J8" s="8">
        <f>COUNTIF(Week_03!$G$8:$G$15,"Medium")</f>
        <v>4</v>
      </c>
      <c r="K8" s="8">
        <f>COUNTIF(Week_03!$G$8:$G$15,"High")</f>
        <v>3</v>
      </c>
      <c r="L8" s="8"/>
    </row>
    <row r="9" spans="2:12" ht="18" customHeight="1" x14ac:dyDescent="0.35">
      <c r="B9" s="8" t="s">
        <v>466</v>
      </c>
      <c r="C9" s="8">
        <f>COUNTIF(Week_04!$C$8:$C$15,"A")</f>
        <v>2</v>
      </c>
      <c r="D9" s="8">
        <f>COUNTIF(Week_04!$C$8:$C$15,"B")</f>
        <v>1</v>
      </c>
      <c r="E9" s="8">
        <f>COUNTIF(Week_04!$C$8:$C$15,"C")</f>
        <v>1</v>
      </c>
      <c r="F9" s="8">
        <f>COUNTIF(Week_04!$C$8:$C$15,"D")</f>
        <v>2</v>
      </c>
      <c r="G9" s="8">
        <f>COUNTIF(Week_04!$C$8:$C$15,"E")</f>
        <v>2</v>
      </c>
      <c r="H9" s="8">
        <f t="shared" si="0"/>
        <v>8</v>
      </c>
      <c r="I9" s="8">
        <f>COUNTIF(Week_04!$G$8:$G$15,"Low")</f>
        <v>0</v>
      </c>
      <c r="J9" s="8">
        <f>COUNTIF(Week_04!$G$8:$G$15,"Medium")</f>
        <v>6</v>
      </c>
      <c r="K9" s="8">
        <f>COUNTIF(Week_04!$G$8:$G$15,"High")</f>
        <v>2</v>
      </c>
      <c r="L9" s="8"/>
    </row>
    <row r="10" spans="2:12" ht="18" customHeight="1" x14ac:dyDescent="0.35">
      <c r="B10" s="8" t="s">
        <v>467</v>
      </c>
      <c r="C10" s="8">
        <f>COUNTIF(Week_05!$C$8:$C$15,"A")</f>
        <v>1</v>
      </c>
      <c r="D10" s="8">
        <f>COUNTIF(Week_05!$C$8:$C$15,"B")</f>
        <v>1</v>
      </c>
      <c r="E10" s="8">
        <f>COUNTIF(Week_05!$C$8:$C$15,"C")</f>
        <v>2</v>
      </c>
      <c r="F10" s="8">
        <f>COUNTIF(Week_05!$C$8:$C$15,"D")</f>
        <v>2</v>
      </c>
      <c r="G10" s="8">
        <f>COUNTIF(Week_05!$C$8:$C$15,"E")</f>
        <v>2</v>
      </c>
      <c r="H10" s="8">
        <f t="shared" si="0"/>
        <v>8</v>
      </c>
      <c r="I10" s="8">
        <f>COUNTIF(Week_05!$G$8:$G$15,"Low")</f>
        <v>0</v>
      </c>
      <c r="J10" s="8">
        <f>COUNTIF(Week_05!$G$8:$G$15,"Medium")</f>
        <v>3</v>
      </c>
      <c r="K10" s="8">
        <f>COUNTIF(Week_05!$G$8:$G$15,"High")</f>
        <v>4</v>
      </c>
      <c r="L10" s="8"/>
    </row>
    <row r="11" spans="2:12" ht="18" customHeight="1" x14ac:dyDescent="0.35">
      <c r="B11" s="8" t="s">
        <v>468</v>
      </c>
      <c r="C11" s="8">
        <f>COUNTIF(Week_06!$C$8:$C$15,"A")</f>
        <v>1</v>
      </c>
      <c r="D11" s="8">
        <f>COUNTIF(Week_06!$C$8:$C$15,"B")</f>
        <v>1</v>
      </c>
      <c r="E11" s="8">
        <f>COUNTIF(Week_06!$C$8:$C$15,"C")</f>
        <v>1</v>
      </c>
      <c r="F11" s="8">
        <f>COUNTIF(Week_06!$C$8:$C$15,"D")</f>
        <v>1</v>
      </c>
      <c r="G11" s="8">
        <f>COUNTIF(Week_06!$C$8:$C$15,"E")</f>
        <v>2</v>
      </c>
      <c r="H11" s="8">
        <f t="shared" si="0"/>
        <v>6</v>
      </c>
      <c r="I11" s="8">
        <f>COUNTIF(Week_06!$G$8:$G$15,"Low")</f>
        <v>0</v>
      </c>
      <c r="J11" s="8">
        <f>COUNTIF(Week_06!$G$8:$G$15,"Medium")</f>
        <v>3</v>
      </c>
      <c r="K11" s="8">
        <f>COUNTIF(Week_06!$G$8:$G$15,"High")</f>
        <v>3</v>
      </c>
      <c r="L11" s="8"/>
    </row>
    <row r="12" spans="2:12" ht="18" customHeight="1" x14ac:dyDescent="0.35">
      <c r="B12" s="8" t="s">
        <v>469</v>
      </c>
      <c r="C12" s="8">
        <f>COUNTIF(Week_07!$C$8:$C$15,"A")</f>
        <v>1</v>
      </c>
      <c r="D12" s="8">
        <f>COUNTIF(Week_07!$C$8:$C$15,"B")</f>
        <v>1</v>
      </c>
      <c r="E12" s="8">
        <f>COUNTIF(Week_07!$C$8:$C$15,"C")</f>
        <v>1</v>
      </c>
      <c r="F12" s="8">
        <f>COUNTIF(Week_07!$C$8:$C$15,"D")</f>
        <v>2</v>
      </c>
      <c r="G12" s="8">
        <f>COUNTIF(Week_07!$C$8:$C$15,"E")</f>
        <v>1</v>
      </c>
      <c r="H12" s="8">
        <f t="shared" si="0"/>
        <v>6</v>
      </c>
      <c r="I12" s="8">
        <f>COUNTIF(Week_07!$G$8:$G$15,"Low")</f>
        <v>1</v>
      </c>
      <c r="J12" s="8">
        <f>COUNTIF(Week_07!$G$8:$G$15,"Medium")</f>
        <v>4</v>
      </c>
      <c r="K12" s="8">
        <f>COUNTIF(Week_07!$G$8:$G$15,"High")</f>
        <v>1</v>
      </c>
      <c r="L12" s="8"/>
    </row>
    <row r="13" spans="2:12" ht="18" customHeight="1" x14ac:dyDescent="0.35">
      <c r="B13" s="8" t="s">
        <v>470</v>
      </c>
      <c r="C13" s="8">
        <f>COUNTIF(Week_08!$C$8:$C$15,"A")</f>
        <v>0</v>
      </c>
      <c r="D13" s="8">
        <f>COUNTIF(Week_08!$C$8:$C$15,"B")</f>
        <v>0</v>
      </c>
      <c r="E13" s="8">
        <f>COUNTIF(Week_08!$C$8:$C$15,"C")</f>
        <v>0</v>
      </c>
      <c r="F13" s="8">
        <f>COUNTIF(Week_08!$C$8:$C$15,"D")</f>
        <v>0</v>
      </c>
      <c r="G13" s="8">
        <f>COUNTIF(Week_08!$C$8:$C$15,"E")</f>
        <v>0</v>
      </c>
      <c r="H13" s="8">
        <f t="shared" si="0"/>
        <v>0</v>
      </c>
      <c r="I13" s="8">
        <f>COUNTIF(Week_08!$G$8:$G$15,"Low")</f>
        <v>0</v>
      </c>
      <c r="J13" s="8">
        <f>COUNTIF(Week_08!$G$8:$G$15,"Medium")</f>
        <v>0</v>
      </c>
      <c r="K13" s="8">
        <f>COUNTIF(Week_08!$G$8:$G$15,"High")</f>
        <v>0</v>
      </c>
      <c r="L13" s="8"/>
    </row>
    <row r="14" spans="2:12" ht="18" customHeight="1" x14ac:dyDescent="0.35">
      <c r="B14" s="8" t="s">
        <v>471</v>
      </c>
      <c r="C14" s="8">
        <f>COUNTIF(Week_09!$C$8:$C$15,"A")</f>
        <v>0</v>
      </c>
      <c r="D14" s="8">
        <f>COUNTIF(Week_09!$C$8:$C$15,"B")</f>
        <v>0</v>
      </c>
      <c r="E14" s="8">
        <f>COUNTIF(Week_09!$C$8:$C$15,"C")</f>
        <v>0</v>
      </c>
      <c r="F14" s="8">
        <f>COUNTIF(Week_09!$C$8:$C$15,"D")</f>
        <v>0</v>
      </c>
      <c r="G14" s="8">
        <f>COUNTIF(Week_09!$C$8:$C$15,"E")</f>
        <v>0</v>
      </c>
      <c r="H14" s="8">
        <f t="shared" si="0"/>
        <v>0</v>
      </c>
      <c r="I14" s="8">
        <f>COUNTIF(Week_09!$G$8:$G$15,"Low")</f>
        <v>0</v>
      </c>
      <c r="J14" s="8">
        <f>COUNTIF(Week_09!$G$8:$G$15,"Medium")</f>
        <v>0</v>
      </c>
      <c r="K14" s="8">
        <f>COUNTIF(Week_09!$G$8:$G$15,"High")</f>
        <v>0</v>
      </c>
      <c r="L14" s="8"/>
    </row>
    <row r="15" spans="2:12" ht="18" customHeight="1" x14ac:dyDescent="0.35">
      <c r="B15" s="8" t="s">
        <v>472</v>
      </c>
      <c r="C15" s="8">
        <f>COUNTIF(Week_10!$C$8:$C$15,"A")</f>
        <v>0</v>
      </c>
      <c r="D15" s="8">
        <f>COUNTIF(Week_10!$C$8:$C$15,"B")</f>
        <v>0</v>
      </c>
      <c r="E15" s="8">
        <f>COUNTIF(Week_10!$C$8:$C$15,"C")</f>
        <v>0</v>
      </c>
      <c r="F15" s="8">
        <f>COUNTIF(Week_10!$C$8:$C$15,"D")</f>
        <v>0</v>
      </c>
      <c r="G15" s="8">
        <f>COUNTIF(Week_10!$C$8:$C$15,"E")</f>
        <v>0</v>
      </c>
      <c r="H15" s="8">
        <f t="shared" si="0"/>
        <v>0</v>
      </c>
      <c r="I15" s="8">
        <f>COUNTIF(Week_10!$G$8:$G$15,"Low")</f>
        <v>0</v>
      </c>
      <c r="J15" s="8">
        <f>COUNTIF(Week_10!$G$8:$G$15,"Medium")</f>
        <v>0</v>
      </c>
      <c r="K15" s="8">
        <f>COUNTIF(Week_10!$G$8:$G$15,"High")</f>
        <v>0</v>
      </c>
      <c r="L15" s="8"/>
    </row>
    <row r="16" spans="2:12" ht="19.5" customHeight="1" x14ac:dyDescent="0.35">
      <c r="B16" s="5" t="s">
        <v>473</v>
      </c>
      <c r="C16" s="5">
        <f t="shared" ref="C16:K16" si="1">SUM(C6:C15)</f>
        <v>10</v>
      </c>
      <c r="D16" s="5">
        <f t="shared" si="1"/>
        <v>9</v>
      </c>
      <c r="E16" s="5">
        <f t="shared" si="1"/>
        <v>11</v>
      </c>
      <c r="F16" s="5">
        <f t="shared" si="1"/>
        <v>11</v>
      </c>
      <c r="G16" s="5">
        <f t="shared" si="1"/>
        <v>11</v>
      </c>
      <c r="H16" s="5">
        <f t="shared" si="1"/>
        <v>52</v>
      </c>
      <c r="I16" s="5">
        <f t="shared" si="1"/>
        <v>2</v>
      </c>
      <c r="J16" s="5">
        <f t="shared" si="1"/>
        <v>28</v>
      </c>
      <c r="K16" s="5">
        <f t="shared" si="1"/>
        <v>21</v>
      </c>
      <c r="L16" s="5"/>
    </row>
    <row r="18" spans="2:12" ht="19.5" customHeight="1" x14ac:dyDescent="0.35">
      <c r="B18" s="35" t="s">
        <v>474</v>
      </c>
      <c r="C18" s="18"/>
      <c r="D18" s="18"/>
      <c r="E18" s="18"/>
      <c r="F18" s="18"/>
      <c r="G18" s="18"/>
      <c r="H18" s="18"/>
      <c r="I18" s="18"/>
      <c r="J18" s="18"/>
      <c r="K18" s="18"/>
      <c r="L18" s="19"/>
    </row>
    <row r="19" spans="2:12" ht="21.75" customHeight="1" x14ac:dyDescent="0.35">
      <c r="B19" s="69" t="s">
        <v>475</v>
      </c>
      <c r="C19" s="18"/>
      <c r="D19" s="18"/>
      <c r="E19" s="17"/>
      <c r="F19" s="18"/>
      <c r="G19" s="18"/>
      <c r="H19" s="18"/>
      <c r="I19" s="18"/>
      <c r="J19" s="18"/>
      <c r="K19" s="18"/>
      <c r="L19" s="19"/>
    </row>
    <row r="20" spans="2:12" ht="21.75" customHeight="1" x14ac:dyDescent="0.35">
      <c r="B20" s="69" t="s">
        <v>476</v>
      </c>
      <c r="C20" s="18"/>
      <c r="D20" s="18"/>
      <c r="E20" s="17"/>
      <c r="F20" s="18"/>
      <c r="G20" s="18"/>
      <c r="H20" s="18"/>
      <c r="I20" s="18"/>
      <c r="J20" s="18"/>
      <c r="K20" s="18"/>
      <c r="L20" s="19"/>
    </row>
    <row r="21" spans="2:12" ht="21.75" customHeight="1" x14ac:dyDescent="0.35">
      <c r="B21" s="69" t="s">
        <v>477</v>
      </c>
      <c r="C21" s="18"/>
      <c r="D21" s="18"/>
      <c r="E21" s="17"/>
      <c r="F21" s="18"/>
      <c r="G21" s="18"/>
      <c r="H21" s="18"/>
      <c r="I21" s="18"/>
      <c r="J21" s="18"/>
      <c r="K21" s="18"/>
      <c r="L21" s="19"/>
    </row>
    <row r="22" spans="2:12" ht="32.25" customHeight="1" x14ac:dyDescent="0.35">
      <c r="B22" s="69" t="s">
        <v>478</v>
      </c>
      <c r="C22" s="18"/>
      <c r="D22" s="18"/>
      <c r="E22" s="17"/>
      <c r="F22" s="18"/>
      <c r="G22" s="18"/>
      <c r="H22" s="18"/>
      <c r="I22" s="18"/>
      <c r="J22" s="18"/>
      <c r="K22" s="18"/>
      <c r="L22" s="19"/>
    </row>
  </sheetData>
  <mergeCells count="11">
    <mergeCell ref="B2:L2"/>
    <mergeCell ref="E19:L19"/>
    <mergeCell ref="B21:D21"/>
    <mergeCell ref="E22:L22"/>
    <mergeCell ref="B18:L18"/>
    <mergeCell ref="B20:D20"/>
    <mergeCell ref="B4:L4"/>
    <mergeCell ref="B19:D19"/>
    <mergeCell ref="E20:L20"/>
    <mergeCell ref="E21:L21"/>
    <mergeCell ref="B22:D2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Hướng dẫn</vt:lpstr>
      <vt:lpstr>Thông tin nhóm</vt:lpstr>
      <vt:lpstr>Week_01</vt:lpstr>
      <vt:lpstr>Week_02</vt:lpstr>
      <vt:lpstr>Week_03</vt:lpstr>
      <vt:lpstr>Week_04</vt:lpstr>
      <vt:lpstr>Week_05</vt:lpstr>
      <vt:lpstr>Week_06</vt:lpstr>
      <vt:lpstr>Week_07</vt:lpstr>
      <vt:lpstr>Week_08</vt:lpstr>
      <vt:lpstr>Week_09</vt:lpstr>
      <vt:lpstr>Week_10</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Lenovo</cp:lastModifiedBy>
  <cp:revision>0</cp:revision>
  <dcterms:created xsi:type="dcterms:W3CDTF">2026-05-29T14:09:10Z</dcterms:created>
  <dcterms:modified xsi:type="dcterms:W3CDTF">2026-06-30T15:43:04Z</dcterms:modified>
  <dc:language>en-US</dc:language>
</cp:coreProperties>
</file>